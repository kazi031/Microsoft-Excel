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91AB8045-AFC0-B76E-F17D-A240E00664AE}"/>
  <workbookPr filterPrivacy="1" codeName="ThisWorkbook" defaultThemeVersion="124226"/>
  <xr:revisionPtr revIDLastSave="0" documentId="13_ncr:1_{59526BD5-A4B0-47C1-B3CC-B18945080457}" xr6:coauthVersionLast="45" xr6:coauthVersionMax="45" xr10:uidLastSave="{00000000-0000-0000-0000-000000000000}"/>
  <bookViews>
    <workbookView xWindow="-108" yWindow="-108" windowWidth="23256" windowHeight="12576" firstSheet="8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Bridge Chart 2" sheetId="32" r:id="rId15"/>
    <sheet name="Treemap Chart" sheetId="30" r:id="rId16"/>
    <sheet name="Sparklines" sheetId="31" r:id="rId17"/>
  </sheets>
  <definedNames>
    <definedName name="_xlnm._FilterDatabase" localSheetId="3" hidden="1">'1.1 FY2016'!$B$4:$F$61</definedName>
    <definedName name="_xlnm._FilterDatabase" localSheetId="4" hidden="1">'1.2 FY2017'!$B$4:$F$86</definedName>
    <definedName name="_xlnm._FilterDatabase" localSheetId="5" hidden="1">'1.3 FY2018'!$B$4:$F$78</definedName>
    <definedName name="_xlnm._FilterDatabase" localSheetId="7" hidden="1">'2.1 Database'!$B$3:$J$3</definedName>
    <definedName name="_xlchart.v1.4" hidden="1">'Treemap Chart'!$B$6:$C$14</definedName>
    <definedName name="_xlchart.v1.5" hidden="1">'Treemap Chart'!$D$5</definedName>
    <definedName name="_xlchart.v1.6" hidden="1">'Treemap Chart'!$D$6:$D$14</definedName>
    <definedName name="_xlchart.v5.0" hidden="1">'Bridge Chart'!$B$6:$B$11</definedName>
    <definedName name="_xlchart.v5.1" hidden="1">'Bridge Chart'!$C$6:$C$11</definedName>
    <definedName name="_xlchart.v5.2" hidden="1">'Bridge Chart 2'!$B$4:$B$8</definedName>
    <definedName name="_xlchart.v5.3" hidden="1">'Bridge Chart 2'!$C$4:$C$8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32" l="1"/>
  <c r="C7" i="32"/>
  <c r="C5" i="32"/>
  <c r="C8" i="32"/>
  <c r="C11" i="32" s="1"/>
  <c r="C4" i="32"/>
  <c r="E10" i="28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D15" i="21" s="1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C21" i="21" s="1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E108" i="10"/>
  <c r="D108" i="10"/>
  <c r="E107" i="10"/>
  <c r="D107" i="10"/>
  <c r="E106" i="10"/>
  <c r="D106" i="10"/>
  <c r="E105" i="10"/>
  <c r="D105" i="10"/>
  <c r="E104" i="10"/>
  <c r="D104" i="10"/>
  <c r="E103" i="10"/>
  <c r="D103" i="10"/>
  <c r="E102" i="10"/>
  <c r="D102" i="10"/>
  <c r="E101" i="10"/>
  <c r="D101" i="10"/>
  <c r="E100" i="10"/>
  <c r="D100" i="10"/>
  <c r="E99" i="10"/>
  <c r="D99" i="10"/>
  <c r="E98" i="10"/>
  <c r="D98" i="10"/>
  <c r="E97" i="10"/>
  <c r="D97" i="10"/>
  <c r="E96" i="10"/>
  <c r="D96" i="10"/>
  <c r="E95" i="10"/>
  <c r="D95" i="10"/>
  <c r="E94" i="10"/>
  <c r="D94" i="10"/>
  <c r="E93" i="10"/>
  <c r="D93" i="10"/>
  <c r="E92" i="10"/>
  <c r="D92" i="10"/>
  <c r="E91" i="10"/>
  <c r="D91" i="10"/>
  <c r="E90" i="10"/>
  <c r="D90" i="10"/>
  <c r="E89" i="10"/>
  <c r="D89" i="10"/>
  <c r="E88" i="10"/>
  <c r="D88" i="10"/>
  <c r="E87" i="10"/>
  <c r="D87" i="10"/>
  <c r="E86" i="10"/>
  <c r="D86" i="10"/>
  <c r="E85" i="10"/>
  <c r="D85" i="10"/>
  <c r="E84" i="10"/>
  <c r="D84" i="10"/>
  <c r="E83" i="10"/>
  <c r="D83" i="10"/>
  <c r="E82" i="10"/>
  <c r="D82" i="10"/>
  <c r="E81" i="10"/>
  <c r="D81" i="10"/>
  <c r="E80" i="10"/>
  <c r="D80" i="10"/>
  <c r="E79" i="10"/>
  <c r="D79" i="10"/>
  <c r="E78" i="10"/>
  <c r="D78" i="10"/>
  <c r="E77" i="10"/>
  <c r="D77" i="10"/>
  <c r="E76" i="10"/>
  <c r="D76" i="10"/>
  <c r="E75" i="10"/>
  <c r="D75" i="10"/>
  <c r="E74" i="10"/>
  <c r="D74" i="10"/>
  <c r="E73" i="10"/>
  <c r="D73" i="10"/>
  <c r="E72" i="10"/>
  <c r="D72" i="10"/>
  <c r="E71" i="10"/>
  <c r="D71" i="10"/>
  <c r="E70" i="10"/>
  <c r="D70" i="10"/>
  <c r="E69" i="10"/>
  <c r="D69" i="10"/>
  <c r="E68" i="10"/>
  <c r="D68" i="10"/>
  <c r="E67" i="10"/>
  <c r="D67" i="10"/>
  <c r="E66" i="10"/>
  <c r="D66" i="10"/>
  <c r="E65" i="10"/>
  <c r="D65" i="10"/>
  <c r="E64" i="10"/>
  <c r="D64" i="10"/>
  <c r="E63" i="10"/>
  <c r="D63" i="10"/>
  <c r="E62" i="10"/>
  <c r="D62" i="10"/>
  <c r="E61" i="10"/>
  <c r="D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G4" i="21" l="1"/>
  <c r="H5" i="21"/>
  <c r="E15" i="21"/>
  <c r="H15" i="21" s="1"/>
  <c r="E12" i="21"/>
  <c r="H12" i="21" s="1"/>
  <c r="E23" i="21"/>
  <c r="G8" i="21"/>
  <c r="H4" i="21"/>
  <c r="E14" i="21"/>
  <c r="H14" i="21" s="1"/>
  <c r="C16" i="21"/>
  <c r="C11" i="21"/>
  <c r="C18" i="21"/>
  <c r="C13" i="21"/>
  <c r="D10" i="21"/>
  <c r="D21" i="21"/>
  <c r="G21" i="21" s="1"/>
  <c r="E6" i="21"/>
  <c r="D30" i="21"/>
  <c r="D6" i="21"/>
  <c r="E20" i="21"/>
  <c r="E30" i="21"/>
  <c r="C10" i="21"/>
  <c r="C14" i="21"/>
  <c r="G14" i="21" s="1"/>
  <c r="C6" i="21"/>
  <c r="C7" i="21" s="1"/>
  <c r="C9" i="21" s="1"/>
  <c r="C35" i="21" s="1"/>
  <c r="D20" i="21"/>
  <c r="D23" i="21"/>
  <c r="E16" i="21"/>
  <c r="E11" i="21"/>
  <c r="E18" i="21"/>
  <c r="E13" i="21"/>
  <c r="C15" i="21"/>
  <c r="G15" i="21" s="1"/>
  <c r="C12" i="21"/>
  <c r="G12" i="21" s="1"/>
  <c r="C20" i="21"/>
  <c r="C23" i="21"/>
  <c r="D16" i="21"/>
  <c r="G16" i="21" s="1"/>
  <c r="D11" i="21"/>
  <c r="G11" i="21" s="1"/>
  <c r="D18" i="21"/>
  <c r="G18" i="21" s="1"/>
  <c r="D13" i="21"/>
  <c r="G13" i="21" s="1"/>
  <c r="E10" i="21"/>
  <c r="H10" i="21" s="1"/>
  <c r="E21" i="21"/>
  <c r="H21" i="21" s="1"/>
  <c r="C30" i="21"/>
  <c r="H20" i="21" l="1"/>
  <c r="H16" i="21"/>
  <c r="D7" i="21"/>
  <c r="G6" i="21"/>
  <c r="G10" i="21"/>
  <c r="H13" i="21"/>
  <c r="G23" i="21"/>
  <c r="H18" i="21"/>
  <c r="G20" i="21"/>
  <c r="E7" i="21"/>
  <c r="H6" i="21"/>
  <c r="H11" i="21"/>
  <c r="H23" i="21"/>
  <c r="C17" i="21"/>
  <c r="E9" i="21" l="1"/>
  <c r="H7" i="21"/>
  <c r="C19" i="21"/>
  <c r="C36" i="21"/>
  <c r="D9" i="21"/>
  <c r="G7" i="21"/>
  <c r="C22" i="21" l="1"/>
  <c r="C24" i="21" s="1"/>
  <c r="C31" i="21" s="1"/>
  <c r="C37" i="21"/>
  <c r="G9" i="21"/>
  <c r="D35" i="21"/>
  <c r="D17" i="21"/>
  <c r="H9" i="21"/>
  <c r="E35" i="21"/>
  <c r="E17" i="21"/>
  <c r="E19" i="21" l="1"/>
  <c r="H17" i="21"/>
  <c r="E36" i="21"/>
  <c r="D19" i="21"/>
  <c r="G17" i="21"/>
  <c r="D36" i="21"/>
  <c r="E22" i="21" l="1"/>
  <c r="E37" i="21"/>
  <c r="H19" i="21"/>
  <c r="D22" i="21"/>
  <c r="D37" i="21"/>
  <c r="G19" i="21"/>
  <c r="E24" i="21" l="1"/>
  <c r="H22" i="21"/>
  <c r="D24" i="21"/>
  <c r="G22" i="21"/>
  <c r="E31" i="21" l="1"/>
  <c r="H24" i="21"/>
  <c r="D31" i="21"/>
  <c r="G24" i="21"/>
</calcChain>
</file>

<file path=xl/sharedStrings.xml><?xml version="1.0" encoding="utf-8"?>
<sst xmlns="http://schemas.openxmlformats.org/spreadsheetml/2006/main" count="1285" uniqueCount="347">
  <si>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</si>
  <si>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</si>
  <si>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</si>
  <si>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</si>
  <si>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</si>
  <si>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</si>
  <si>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</si>
  <si>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</si>
  <si>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</si>
  <si>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</si>
  <si>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</si>
  <si>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</si>
  <si>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</si>
  <si>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</si>
  <si>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</si>
  <si>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</si>
  <si>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</si>
  <si>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</si>
  <si>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</si>
  <si>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</si>
  <si>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</si>
  <si>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</si>
  <si>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</si>
  <si>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</si>
  <si>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</si>
  <si>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</si>
  <si>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</si>
  <si>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</si>
  <si>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</si>
  <si>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</si>
  <si>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</si>
  <si>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</si>
  <si>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</si>
  <si>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</si>
  <si>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</si>
  <si>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</si>
  <si>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</si>
  <si>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</si>
  <si>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</si>
  <si>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</si>
  <si>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</si>
  <si>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</si>
  <si>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</si>
  <si>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</si>
  <si>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</si>
  <si>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</si>
  <si>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</si>
  <si>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</si>
  <si>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</si>
  <si>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</si>
  <si>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</si>
  <si>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</si>
  <si>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</si>
  <si>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</si>
  <si>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</si>
  <si>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</si>
  <si>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</si>
  <si>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</si>
  <si>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</si>
  <si>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</si>
  <si>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</si>
  <si>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</si>
  <si>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</si>
  <si>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</si>
  <si>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</si>
  <si>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</si>
  <si>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</si>
  <si>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</si>
  <si>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</si>
  <si>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</si>
  <si>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</si>
  <si>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</si>
  <si>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</si>
  <si>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</si>
  <si>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</si>
  <si>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</si>
  <si>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</si>
  <si>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</si>
  <si>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</si>
  <si>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</si>
  <si>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</si>
  <si>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</si>
  <si>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</si>
  <si>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</si>
  <si>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</si>
  <si>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</si>
  <si>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</si>
  <si>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</si>
  <si>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</si>
  <si>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</si>
  <si>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</si>
  <si>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</si>
  <si>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</si>
  <si>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</si>
  <si>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</si>
  <si>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</si>
  <si>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</si>
  <si>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</si>
  <si>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</si>
  <si>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</si>
  <si>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</si>
  <si>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</si>
  <si>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</si>
  <si>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</si>
  <si>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</si>
  <si>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</si>
  <si>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</si>
  <si>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</si>
  <si>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</si>
  <si>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</si>
  <si>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</si>
  <si>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</si>
  <si>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P&amp;L account</t>
  </si>
  <si>
    <t>Name of partner company</t>
  </si>
  <si>
    <t>Amounts</t>
  </si>
  <si>
    <t>Account number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</si>
  <si>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</si>
  <si>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</si>
  <si>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</si>
  <si>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</si>
  <si>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</si>
  <si>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</si>
  <si>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</si>
  <si>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</si>
  <si>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</si>
  <si>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</si>
  <si>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</si>
  <si>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</si>
  <si>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</si>
  <si>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</si>
  <si>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</si>
  <si>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</si>
  <si>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</si>
  <si>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</si>
  <si>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</si>
  <si>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</si>
  <si>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</si>
  <si>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</si>
  <si>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</si>
  <si>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</si>
  <si>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</si>
  <si>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</si>
  <si>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</si>
  <si>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</si>
  <si>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</si>
  <si>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</si>
  <si>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</si>
  <si>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</si>
  <si>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</si>
  <si>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</si>
  <si>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</si>
  <si>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</si>
  <si>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</si>
  <si>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</si>
  <si>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</si>
  <si>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</si>
  <si>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</si>
  <si>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</si>
  <si>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</si>
  <si>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</si>
  <si>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</si>
  <si>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</si>
  <si>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</si>
  <si>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</si>
  <si>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</si>
  <si>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</si>
  <si>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</si>
  <si>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</si>
  <si>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</si>
  <si>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</si>
  <si>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</si>
  <si>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</si>
  <si>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</si>
  <si>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</si>
  <si>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</si>
  <si>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</si>
  <si>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</si>
  <si>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</si>
  <si>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</si>
  <si>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</si>
  <si>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</si>
  <si>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</si>
  <si>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</si>
  <si>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</si>
  <si>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</si>
  <si>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</si>
  <si>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</si>
  <si>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</si>
  <si>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</si>
  <si>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</si>
  <si>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</si>
  <si>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</si>
  <si>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</si>
  <si>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</si>
  <si>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</si>
  <si>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</si>
  <si>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</si>
  <si>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</si>
  <si>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</si>
  <si>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</si>
  <si>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</si>
  <si>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</si>
  <si>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</si>
  <si>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</si>
  <si>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</si>
  <si>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</si>
  <si>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</si>
  <si>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</si>
  <si>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</si>
  <si>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</si>
  <si>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</si>
  <si>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</si>
  <si>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</si>
  <si>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</si>
  <si>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</si>
  <si>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</si>
  <si>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</si>
  <si>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</si>
  <si>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</si>
  <si>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</si>
  <si>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</si>
  <si>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</si>
  <si>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 xml:space="preserve">1.first we have to copy all the codes from FY16,FY17 and FY18 </t>
  </si>
  <si>
    <t>2.Then We have to Delete The duplicate codes for avoiding Double Counting</t>
  </si>
  <si>
    <t>FY16</t>
  </si>
  <si>
    <t>FY17</t>
  </si>
  <si>
    <t>FY18</t>
  </si>
  <si>
    <t>3.we have negate the net income to check if the result is right or wrong</t>
  </si>
  <si>
    <t>Mapping</t>
  </si>
  <si>
    <t>Net Sales</t>
  </si>
  <si>
    <t>Other operating expenses</t>
  </si>
  <si>
    <t>Personnel expenses</t>
  </si>
  <si>
    <t>Recharges</t>
  </si>
  <si>
    <t>Services</t>
  </si>
  <si>
    <t>Travel costs</t>
  </si>
  <si>
    <t xml:space="preserve">                   - </t>
  </si>
  <si>
    <t>Financial items</t>
  </si>
  <si>
    <t>Extraordinary items</t>
  </si>
  <si>
    <t>Taxes</t>
  </si>
  <si>
    <t>Net Income</t>
  </si>
  <si>
    <t xml:space="preserve">                   -</t>
  </si>
  <si>
    <t xml:space="preserve">               -     </t>
  </si>
  <si>
    <t>P&amp;L statement</t>
  </si>
  <si>
    <t>1. first we put the revenues on top</t>
  </si>
  <si>
    <t>2. net sales,other revenues and recharges are the revenues</t>
  </si>
  <si>
    <t>Total revenues</t>
  </si>
  <si>
    <t>3. Sum of these will give us total revenues</t>
  </si>
  <si>
    <t>4. Then add derect cost and the difference between total revenues and derect cost is Gross Margin</t>
  </si>
  <si>
    <t>Gross margin</t>
  </si>
  <si>
    <t>EBIT</t>
  </si>
  <si>
    <t>5. Then add the expenses which are not variable in nature</t>
  </si>
  <si>
    <t>6. Then we will get EBITA -&gt; Earning before interests,taxes,depreciation and amortization</t>
  </si>
  <si>
    <t>7. Then add D&amp;A</t>
  </si>
  <si>
    <t>8. Then the difference will be EBIT -&gt; earning before interests and taxes</t>
  </si>
  <si>
    <t>9. Then financial items and extraordinary items</t>
  </si>
  <si>
    <t>10. Then we get EBT -&gt; earning before taxes</t>
  </si>
  <si>
    <t xml:space="preserve">11. After considering taxes the result will be net income </t>
  </si>
  <si>
    <t>EUR in millions</t>
  </si>
  <si>
    <t>EBT</t>
  </si>
  <si>
    <t>EBITDA</t>
  </si>
  <si>
    <t>1. Checking if the calculation is correct or not</t>
  </si>
  <si>
    <t>Net income</t>
  </si>
  <si>
    <t>result from database</t>
  </si>
  <si>
    <t>check</t>
  </si>
  <si>
    <t>if the count is zero that’s means there is an error</t>
  </si>
  <si>
    <t>result from calculation</t>
  </si>
  <si>
    <t>then we can calculate the parcentage growth</t>
  </si>
  <si>
    <t>Var% FY16-FY17</t>
  </si>
  <si>
    <t>Var% FY17-FY18</t>
  </si>
  <si>
    <t>1.devide amount of previous year by amount next year</t>
  </si>
  <si>
    <t>3.if ans -  1 is &gt; 1 then growth is &gt; 100%</t>
  </si>
  <si>
    <t>4. if ans -1 is &lt; -1 then growth is &lt; -100%</t>
  </si>
  <si>
    <t>5. else we will show the normal answer</t>
  </si>
  <si>
    <t>Equation</t>
  </si>
  <si>
    <t>2.like amount FY17/amount FY16</t>
  </si>
  <si>
    <t>KPIs</t>
  </si>
  <si>
    <t>GM%</t>
  </si>
  <si>
    <t>EBITA%</t>
  </si>
  <si>
    <t>EBIT%</t>
  </si>
  <si>
    <t>GM/Total revenue is GM%</t>
  </si>
  <si>
    <t>EBITA/Total revenue is EBITA%</t>
  </si>
  <si>
    <t>EBIT/Total revenue is EBIT%</t>
  </si>
  <si>
    <t>IF(ISERROR((D4/C4)-1),"N/A",IF((D4/C4)-1 &gt; 1," &gt; 100% ",IF((D4/C4)-1 &lt; -1," &lt; -100% ",(D4/C4)-1)))</t>
  </si>
  <si>
    <t>Bridge Chart</t>
  </si>
  <si>
    <t>Net sales</t>
  </si>
  <si>
    <t>1. To visualize the whole calculation this chart is used</t>
  </si>
  <si>
    <t>Treemap Chart</t>
  </si>
  <si>
    <t>Country</t>
  </si>
  <si>
    <t>City</t>
  </si>
  <si>
    <t>Tourists</t>
  </si>
  <si>
    <t>Italy</t>
  </si>
  <si>
    <t>Rome</t>
  </si>
  <si>
    <t>Milan</t>
  </si>
  <si>
    <t>Venice</t>
  </si>
  <si>
    <t>France</t>
  </si>
  <si>
    <t>Paris</t>
  </si>
  <si>
    <t>Nizza</t>
  </si>
  <si>
    <t>Marseille</t>
  </si>
  <si>
    <t>United Kingdom</t>
  </si>
  <si>
    <t>London</t>
  </si>
  <si>
    <t>Manchester</t>
  </si>
  <si>
    <t>Newcastle</t>
  </si>
  <si>
    <t>1.Here 1st category is Country</t>
  </si>
  <si>
    <t>2. and 2nd category is City</t>
  </si>
  <si>
    <t>3.thats why we need a treemap chart</t>
  </si>
  <si>
    <t>4.to visualize the most visited country and the most visited city at the same time</t>
  </si>
  <si>
    <t>5.here Italy Is the most visited country</t>
  </si>
  <si>
    <t>6.London is the most visited City</t>
  </si>
  <si>
    <t>Period</t>
  </si>
  <si>
    <t>Nov-14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</si>
  <si>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</si>
  <si>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</si>
  <si>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</si>
  <si>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</si>
  <si>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</si>
  <si>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</si>
  <si>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</si>
  <si>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</si>
  <si>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</si>
  <si>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Agent 1</t>
  </si>
  <si>
    <t>Agent 2</t>
  </si>
  <si>
    <t>Agent 3</t>
  </si>
  <si>
    <t>Sales data</t>
  </si>
  <si>
    <t>Spark-lines</t>
  </si>
  <si>
    <t>1.Spark-lines helps us to visualize big amount of data in a qucik-efficient way</t>
  </si>
  <si>
    <t>Stacked column</t>
  </si>
  <si>
    <t>1. here to visualize how the total revenue is generated the stacked column chart is used</t>
  </si>
  <si>
    <t>2. GM% is visualised with the revenues with the help of a seconday axis</t>
  </si>
  <si>
    <t>Dougnut chart</t>
  </si>
  <si>
    <t>1. Suppose we want to visualize the revenue generated in FY18</t>
  </si>
  <si>
    <t>2. Here we can use the doughnut chart</t>
  </si>
  <si>
    <t>Area chart</t>
  </si>
  <si>
    <t>Revenues</t>
  </si>
  <si>
    <t>1.here revenues are shown in area chart from FY16-FY18 and GM% in line</t>
  </si>
  <si>
    <t>1. Here EBITDA is the total we are calculating</t>
  </si>
  <si>
    <t>EBITDA FY17</t>
  </si>
  <si>
    <t>Change in revenues</t>
  </si>
  <si>
    <t>EBITDA FY18</t>
  </si>
  <si>
    <t>Check</t>
  </si>
  <si>
    <t>1.This is how the EBITDA changed  from FY17 to FY18</t>
  </si>
  <si>
    <t>2. To visualize the change we can insert a waterfall/bridge chart</t>
  </si>
  <si>
    <t>Change in opex</t>
  </si>
  <si>
    <t>Change in costs</t>
  </si>
  <si>
    <t>opex = operating expenses</t>
  </si>
  <si>
    <t>1.Here we can use conditional formatting for marking the values less than 0 in RED</t>
  </si>
  <si>
    <t>2.And less than 10 but greater than 0 in Yellow means they are ok</t>
  </si>
  <si>
    <t>3.And greater than 10 in GREEN means they are doing great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</si>
</sst>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0.0_);\(0.0\)"/>
    <numFmt numFmtId="166" formatCode="dd/mm/yyyy;@"/>
  </numFmts>
  <fonts count="34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theme="1"/>
      <name val="Arial"/>
      <family val="2"/>
    </font>
    <font>
      <b/>
      <sz val="9"/>
      <color theme="3" tint="-0.499984740745262"/>
      <name val="Arial"/>
      <family val="2"/>
    </font>
    <font>
      <b/>
      <sz val="10"/>
      <color theme="3" tint="-0.499984740745262"/>
      <name val="Arial"/>
      <family val="2"/>
    </font>
    <font>
      <b/>
      <sz val="12"/>
      <color theme="1"/>
      <name val="Arial"/>
      <family val="2"/>
    </font>
    <font>
      <b/>
      <sz val="12"/>
      <color theme="4" tint="-0.499984740745262"/>
      <name val="Arial"/>
      <family val="2"/>
    </font>
    <font>
      <b/>
      <sz val="9"/>
      <color theme="4" tint="-0.49998474074526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sz val="8"/>
      <color theme="3" tint="-0.499984740745262"/>
      <name val="Arial"/>
      <family val="2"/>
    </font>
    <font>
      <b/>
      <sz val="8"/>
      <color theme="3" tint="-0.499984740745262"/>
      <name val="Arial"/>
      <family val="2"/>
    </font>
    <font>
      <b/>
      <sz val="12"/>
      <color theme="3" tint="-0.499984740745262"/>
      <name val="Arial"/>
      <family val="2"/>
    </font>
    <font>
      <b/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theme="3" tint="-0.499984740745262"/>
      </bottom>
      <diagonal/>
    </border>
    <border>
      <left/>
      <right/>
      <top/>
      <bottom style="thick">
        <color theme="3" tint="-0.499984740745262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ck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medium">
        <color auto="1"/>
      </top>
      <bottom style="thick">
        <color auto="1"/>
      </bottom>
      <diagonal/>
    </border>
    <border>
      <left/>
      <right/>
      <top/>
      <bottom style="medium">
        <color rgb="FF002060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7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0" fontId="16" fillId="2" borderId="0" xfId="3" applyFont="1" applyFill="1"/>
    <xf numFmtId="0" fontId="1" fillId="2" borderId="0" xfId="0" applyFont="1" applyFill="1" applyAlignment="1">
      <alignment horizontal="left" vertical="top"/>
    </xf>
    <xf numFmtId="164" fontId="1" fillId="2" borderId="0" xfId="2" applyNumberFormat="1" applyFont="1" applyFill="1" applyAlignment="1">
      <alignment horizontal="left" vertical="top"/>
    </xf>
    <xf numFmtId="0" fontId="1" fillId="2" borderId="0" xfId="0" applyNumberFormat="1" applyFont="1" applyFill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164" fontId="1" fillId="4" borderId="0" xfId="2" applyNumberFormat="1" applyFont="1" applyFill="1" applyAlignment="1">
      <alignment horizontal="left" vertical="top"/>
    </xf>
    <xf numFmtId="0" fontId="1" fillId="4" borderId="0" xfId="0" applyNumberFormat="1" applyFont="1" applyFill="1" applyAlignment="1">
      <alignment horizontal="left" vertical="top"/>
    </xf>
    <xf numFmtId="0" fontId="19" fillId="2" borderId="4" xfId="0" applyFont="1" applyFill="1" applyBorder="1" applyAlignment="1">
      <alignment horizontal="left" vertical="top"/>
    </xf>
    <xf numFmtId="0" fontId="1" fillId="2" borderId="5" xfId="0" applyFont="1" applyFill="1" applyBorder="1"/>
    <xf numFmtId="0" fontId="1" fillId="2" borderId="0" xfId="0" applyFont="1" applyFill="1" applyBorder="1"/>
    <xf numFmtId="0" fontId="18" fillId="2" borderId="6" xfId="0" applyFont="1" applyFill="1" applyBorder="1"/>
    <xf numFmtId="0" fontId="19" fillId="2" borderId="0" xfId="0" applyFont="1" applyFill="1" applyBorder="1" applyAlignment="1">
      <alignment horizontal="left" vertical="top"/>
    </xf>
    <xf numFmtId="165" fontId="21" fillId="2" borderId="0" xfId="0" applyNumberFormat="1" applyFont="1" applyFill="1"/>
    <xf numFmtId="165" fontId="1" fillId="2" borderId="0" xfId="0" applyNumberFormat="1" applyFont="1" applyFill="1"/>
    <xf numFmtId="165" fontId="22" fillId="2" borderId="4" xfId="0" applyNumberFormat="1" applyFont="1" applyFill="1" applyBorder="1"/>
    <xf numFmtId="165" fontId="22" fillId="2" borderId="4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5" fontId="1" fillId="2" borderId="7" xfId="0" applyNumberFormat="1" applyFont="1" applyFill="1" applyBorder="1"/>
    <xf numFmtId="165" fontId="1" fillId="2" borderId="7" xfId="0" applyNumberFormat="1" applyFont="1" applyFill="1" applyBorder="1" applyAlignment="1">
      <alignment horizontal="right"/>
    </xf>
    <xf numFmtId="165" fontId="10" fillId="5" borderId="7" xfId="0" applyNumberFormat="1" applyFont="1" applyFill="1" applyBorder="1"/>
    <xf numFmtId="165" fontId="10" fillId="5" borderId="7" xfId="0" applyNumberFormat="1" applyFont="1" applyFill="1" applyBorder="1" applyAlignment="1">
      <alignment horizontal="right"/>
    </xf>
    <xf numFmtId="165" fontId="17" fillId="2" borderId="8" xfId="0" applyNumberFormat="1" applyFont="1" applyFill="1" applyBorder="1"/>
    <xf numFmtId="165" fontId="1" fillId="2" borderId="8" xfId="0" applyNumberFormat="1" applyFont="1" applyFill="1" applyBorder="1" applyAlignment="1">
      <alignment horizontal="right"/>
    </xf>
    <xf numFmtId="165" fontId="0" fillId="2" borderId="0" xfId="0" applyNumberFormat="1" applyFill="1"/>
    <xf numFmtId="165" fontId="20" fillId="2" borderId="0" xfId="0" applyNumberFormat="1" applyFont="1" applyFill="1"/>
    <xf numFmtId="165" fontId="1" fillId="4" borderId="0" xfId="0" applyNumberFormat="1" applyFont="1" applyFill="1"/>
    <xf numFmtId="165" fontId="22" fillId="2" borderId="4" xfId="0" applyNumberFormat="1" applyFont="1" applyFill="1" applyBorder="1" applyAlignment="1">
      <alignment horizontal="right" wrapText="1"/>
    </xf>
    <xf numFmtId="9" fontId="6" fillId="2" borderId="0" xfId="4" applyFont="1" applyFill="1" applyAlignment="1">
      <alignment horizontal="right"/>
    </xf>
    <xf numFmtId="9" fontId="6" fillId="2" borderId="7" xfId="4" applyFont="1" applyFill="1" applyBorder="1" applyAlignment="1">
      <alignment horizontal="right"/>
    </xf>
    <xf numFmtId="9" fontId="9" fillId="5" borderId="7" xfId="4" applyFont="1" applyFill="1" applyBorder="1" applyAlignment="1">
      <alignment horizontal="right"/>
    </xf>
    <xf numFmtId="9" fontId="6" fillId="2" borderId="8" xfId="4" applyFont="1" applyFill="1" applyBorder="1" applyAlignment="1">
      <alignment horizontal="right"/>
    </xf>
    <xf numFmtId="165" fontId="25" fillId="2" borderId="0" xfId="0" applyNumberFormat="1" applyFont="1" applyFill="1"/>
    <xf numFmtId="165" fontId="23" fillId="2" borderId="0" xfId="0" applyNumberFormat="1" applyFont="1" applyFill="1"/>
    <xf numFmtId="165" fontId="26" fillId="2" borderId="0" xfId="0" applyNumberFormat="1" applyFont="1" applyFill="1"/>
    <xf numFmtId="165" fontId="8" fillId="7" borderId="0" xfId="0" applyNumberFormat="1" applyFont="1" applyFill="1"/>
    <xf numFmtId="165" fontId="27" fillId="2" borderId="0" xfId="0" applyNumberFormat="1" applyFont="1" applyFill="1"/>
    <xf numFmtId="165" fontId="23" fillId="2" borderId="5" xfId="0" applyNumberFormat="1" applyFont="1" applyFill="1" applyBorder="1"/>
    <xf numFmtId="165" fontId="6" fillId="2" borderId="0" xfId="0" applyNumberFormat="1" applyFont="1" applyFill="1"/>
    <xf numFmtId="0" fontId="28" fillId="2" borderId="9" xfId="0" applyFont="1" applyFill="1" applyBorder="1"/>
    <xf numFmtId="166" fontId="28" fillId="2" borderId="9" xfId="0" applyNumberFormat="1" applyFont="1" applyFill="1" applyBorder="1" applyAlignment="1">
      <alignment horizontal="right"/>
    </xf>
    <xf numFmtId="0" fontId="28" fillId="2" borderId="9" xfId="0" applyFont="1" applyFill="1" applyBorder="1" applyAlignment="1">
      <alignment horizontal="right"/>
    </xf>
    <xf numFmtId="166" fontId="29" fillId="2" borderId="0" xfId="0" applyNumberFormat="1" applyFont="1" applyFill="1"/>
    <xf numFmtId="0" fontId="29" fillId="2" borderId="0" xfId="0" applyFont="1" applyFill="1"/>
    <xf numFmtId="165" fontId="30" fillId="2" borderId="0" xfId="0" applyNumberFormat="1" applyFont="1" applyFill="1"/>
    <xf numFmtId="165" fontId="19" fillId="2" borderId="0" xfId="0" applyNumberFormat="1" applyFont="1" applyFill="1"/>
    <xf numFmtId="165" fontId="18" fillId="2" borderId="0" xfId="0" applyNumberFormat="1" applyFont="1" applyFill="1"/>
    <xf numFmtId="165" fontId="18" fillId="2" borderId="3" xfId="0" applyNumberFormat="1" applyFont="1" applyFill="1" applyBorder="1"/>
    <xf numFmtId="165" fontId="32" fillId="2" borderId="0" xfId="0" applyNumberFormat="1" applyFont="1" applyFill="1"/>
    <xf numFmtId="165" fontId="30" fillId="2" borderId="2" xfId="0" applyNumberFormat="1" applyFont="1" applyFill="1" applyBorder="1" applyAlignment="1">
      <alignment horizontal="right"/>
    </xf>
    <xf numFmtId="165" fontId="31" fillId="2" borderId="2" xfId="0" applyNumberFormat="1" applyFont="1" applyFill="1" applyBorder="1" applyAlignment="1">
      <alignment horizontal="right"/>
    </xf>
    <xf numFmtId="165" fontId="24" fillId="2" borderId="0" xfId="0" applyNumberFormat="1" applyFont="1" applyFill="1" applyAlignment="1">
      <alignment horizontal="left" vertical="top"/>
    </xf>
    <xf numFmtId="165" fontId="30" fillId="2" borderId="0" xfId="0" applyNumberFormat="1" applyFont="1" applyFill="1" applyAlignment="1">
      <alignment horizontal="right"/>
    </xf>
    <xf numFmtId="165" fontId="31" fillId="2" borderId="0" xfId="0" applyNumberFormat="1" applyFont="1" applyFill="1" applyAlignment="1">
      <alignment horizontal="left" vertical="top"/>
    </xf>
    <xf numFmtId="9" fontId="31" fillId="2" borderId="0" xfId="4" applyFont="1" applyFill="1" applyAlignment="1">
      <alignment horizontal="left" vertical="top"/>
    </xf>
    <xf numFmtId="9" fontId="30" fillId="2" borderId="0" xfId="4" applyFont="1" applyFill="1" applyAlignment="1">
      <alignment horizontal="right"/>
    </xf>
    <xf numFmtId="165" fontId="1" fillId="2" borderId="0" xfId="4" applyNumberFormat="1" applyFont="1" applyFill="1"/>
    <xf numFmtId="165" fontId="1" fillId="6" borderId="0" xfId="4" applyNumberFormat="1" applyFont="1" applyFill="1"/>
    <xf numFmtId="9" fontId="6" fillId="2" borderId="0" xfId="4" applyFont="1" applyFill="1"/>
    <xf numFmtId="165" fontId="33" fillId="2" borderId="0" xfId="0" applyNumberFormat="1" applyFont="1" applyFill="1"/>
    <xf numFmtId="9" fontId="33" fillId="2" borderId="0" xfId="4" applyFont="1" applyFill="1"/>
    <xf numFmtId="165" fontId="7" fillId="7" borderId="0" xfId="0" applyNumberFormat="1" applyFont="1" applyFill="1"/>
    <xf numFmtId="165" fontId="30" fillId="4" borderId="0" xfId="0" applyNumberFormat="1" applyFont="1" applyFill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Sales and Revenues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30211064976123"/>
          <c:y val="0.1670608254983359"/>
          <c:w val="0.71825604060887183"/>
          <c:h val="0.5891067214006171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>
              <a:outerShdw blurRad="50800" dist="50800" dir="5400000" algn="ctr" rotWithShape="0">
                <a:schemeClr val="bg1"/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'2.2 P&amp;L statement'!$C$4:$E$4</c:f>
              <c:numCache>
                <c:formatCode>0.0_);\(0.0\)</c:formatCode>
                <c:ptCount val="3"/>
                <c:pt idx="0">
                  <c:v>14.5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78-483B-899A-A35A1E59011E}"/>
            </c:ext>
          </c:extLst>
        </c:ser>
        <c:ser>
          <c:idx val="1"/>
          <c:order val="1"/>
          <c:tx>
            <c:strRef>
              <c:f>'2.2 P&amp;L statement'!$B$5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'2.2 P&amp;L statement'!$C$5:$E$5</c:f>
              <c:numCache>
                <c:formatCode>0.0_);\(0.0\)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78-483B-899A-A35A1E59011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630541888"/>
        <c:axId val="1769579936"/>
      </c:barChart>
      <c:catAx>
        <c:axId val="16305418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EUR in millions</a:t>
                </a:r>
              </a:p>
            </c:rich>
          </c:tx>
          <c:layout>
            <c:manualLayout>
              <c:xMode val="edge"/>
              <c:yMode val="edge"/>
              <c:x val="9.6185743000783124E-3"/>
              <c:y val="0.350443642461359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69579936"/>
        <c:crosses val="autoZero"/>
        <c:auto val="1"/>
        <c:lblAlgn val="ctr"/>
        <c:lblOffset val="100"/>
        <c:noMultiLvlLbl val="0"/>
      </c:catAx>
      <c:valAx>
        <c:axId val="1769579936"/>
        <c:scaling>
          <c:orientation val="minMax"/>
          <c:max val="18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numFmt formatCode="0.0_);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30541888"/>
        <c:crosses val="autoZero"/>
        <c:crossBetween val="between"/>
        <c:majorUnit val="3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>
      <a:outerShdw blurRad="50800" dist="50800" dir="5400000" sx="1000" sy="1000" algn="ctr" rotWithShape="0">
        <a:srgbClr val="000000"/>
      </a:outerShdw>
    </a:effectLst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/>
              <a:t>Revenues</a:t>
            </a:r>
          </a:p>
        </c:rich>
      </c:tx>
      <c:layout>
        <c:manualLayout>
          <c:xMode val="edge"/>
          <c:yMode val="edge"/>
          <c:x val="0.20941043224277717"/>
          <c:y val="3.8359791689215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'Stacked column'!$B$6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column'!$C$5:$E$5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column'!$C$6:$E$6</c:f>
              <c:numCache>
                <c:formatCode>0.0_);\(0.0\)</c:formatCode>
                <c:ptCount val="3"/>
                <c:pt idx="0">
                  <c:v>14.5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5-4DF8-8CEB-99B9E1B18A47}"/>
            </c:ext>
          </c:extLst>
        </c:ser>
        <c:ser>
          <c:idx val="1"/>
          <c:order val="1"/>
          <c:tx>
            <c:strRef>
              <c:f>'Stacked column'!$B$7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column'!$C$5:$E$5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column'!$C$7:$E$7</c:f>
              <c:numCache>
                <c:formatCode>0.0_);\(0.0\)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05-4DF8-8CEB-99B9E1B18A47}"/>
            </c:ext>
          </c:extLst>
        </c:ser>
        <c:ser>
          <c:idx val="2"/>
          <c:order val="2"/>
          <c:tx>
            <c:strRef>
              <c:f>'Stacked column'!$B$8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column'!$C$5:$E$5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column'!$C$8:$E$8</c:f>
              <c:numCache>
                <c:formatCode>0.0_);\(0.0\)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05-4DF8-8CEB-99B9E1B18A4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214769264"/>
        <c:axId val="1739903680"/>
      </c:barChart>
      <c:lineChart>
        <c:grouping val="standard"/>
        <c:varyColors val="0"/>
        <c:ser>
          <c:idx val="3"/>
          <c:order val="3"/>
          <c:tx>
            <c:strRef>
              <c:f>'Stacked column'!$B$9</c:f>
              <c:strCache>
                <c:ptCount val="1"/>
                <c:pt idx="0">
                  <c:v>GM%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'Stacked column'!$C$5:$E$5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column'!$C$9:$E$9</c:f>
              <c:numCache>
                <c:formatCode>0%</c:formatCode>
                <c:ptCount val="3"/>
                <c:pt idx="0">
                  <c:v>0.8032898343071021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005-4DF8-8CEB-99B9E1B18A4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4823776"/>
        <c:axId val="1739920320"/>
      </c:lineChart>
      <c:catAx>
        <c:axId val="121476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39903680"/>
        <c:crosses val="autoZero"/>
        <c:auto val="1"/>
        <c:lblAlgn val="ctr"/>
        <c:lblOffset val="100"/>
        <c:noMultiLvlLbl val="0"/>
      </c:catAx>
      <c:valAx>
        <c:axId val="1739903680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numFmt formatCode="0.0_);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14769264"/>
        <c:crosses val="autoZero"/>
        <c:crossBetween val="between"/>
      </c:valAx>
      <c:valAx>
        <c:axId val="17399203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4823776"/>
        <c:crosses val="max"/>
        <c:crossBetween val="between"/>
      </c:valAx>
      <c:catAx>
        <c:axId val="174482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39920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1">
                <a:solidFill>
                  <a:schemeClr val="tx2">
                    <a:lumMod val="50000"/>
                  </a:schemeClr>
                </a:solidFill>
              </a:rPr>
              <a:t>Breakdown</a:t>
            </a:r>
            <a:r>
              <a:rPr lang="en-US" sz="1000" b="1" baseline="0">
                <a:solidFill>
                  <a:schemeClr val="tx2">
                    <a:lumMod val="50000"/>
                  </a:schemeClr>
                </a:solidFill>
              </a:rPr>
              <a:t> of revenues in FY18</a:t>
            </a:r>
            <a:endParaRPr lang="en-US" sz="1000" b="1">
              <a:solidFill>
                <a:schemeClr val="tx2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3.1715223097112895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</c:spPr>
          <c:dPt>
            <c:idx val="0"/>
            <c:bubble3D val="0"/>
            <c:spPr>
              <a:solidFill>
                <a:schemeClr val="tx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7DF-41E1-9EBB-6B4A041CB166}"/>
              </c:ext>
            </c:extLst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1-17DF-41E1-9EBB-6B4A041CB166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DF-41E1-9EBB-6B4A041CB1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'Dougnut chart'!$B$6:$B$8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'Dougnut chart'!$E$6:$E$8</c:f>
              <c:numCache>
                <c:formatCode>0.0_);\(0.0\)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DF-41E1-9EBB-6B4A041CB16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 w="0" cap="flat">
          <a:solidFill>
            <a:schemeClr val="bg1">
              <a:lumMod val="50000"/>
            </a:schemeClr>
          </a:solidFill>
          <a:miter lim="800000"/>
        </a:ln>
        <a:effectLst>
          <a:glow rad="127000">
            <a:schemeClr val="bg1"/>
          </a:glow>
        </a:effectLst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 b="1">
                <a:solidFill>
                  <a:schemeClr val="tx2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FY16-FY18 Revenues and Gross Margin %</a:t>
            </a:r>
          </a:p>
        </c:rich>
      </c:tx>
      <c:layout>
        <c:manualLayout>
          <c:xMode val="edge"/>
          <c:yMode val="edge"/>
          <c:x val="4.088188976377951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'Area chart'!$B$6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'Area chart'!$C$5:$E$5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'Area chart'!$C$6:$E$6</c:f>
              <c:numCache>
                <c:formatCode>0.0_);\(0.0\)</c:formatCode>
                <c:ptCount val="3"/>
                <c:pt idx="0">
                  <c:v>22.514910444000002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95-4393-8DEB-5045976CE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5023472"/>
        <c:axId val="1516868736"/>
      </c:areaChart>
      <c:lineChart>
        <c:grouping val="standard"/>
        <c:varyColors val="0"/>
        <c:ser>
          <c:idx val="1"/>
          <c:order val="1"/>
          <c:tx>
            <c:strRef>
              <c:f>'Area chart'!$B$7</c:f>
              <c:strCache>
                <c:ptCount val="1"/>
                <c:pt idx="0">
                  <c:v>GM%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'Area chart'!$C$5:$E$5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'Area chart'!$C$7:$E$7</c:f>
              <c:numCache>
                <c:formatCode>0%</c:formatCode>
                <c:ptCount val="3"/>
                <c:pt idx="0">
                  <c:v>0.8032898343071021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595-4393-8DEB-5045976CE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537008"/>
        <c:axId val="1767386560"/>
      </c:lineChart>
      <c:catAx>
        <c:axId val="174502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868736"/>
        <c:crosses val="autoZero"/>
        <c:auto val="1"/>
        <c:lblAlgn val="ctr"/>
        <c:lblOffset val="100"/>
        <c:noMultiLvlLbl val="0"/>
      </c:catAx>
      <c:valAx>
        <c:axId val="1516868736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_);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5023472"/>
        <c:crosses val="autoZero"/>
        <c:crossBetween val="between"/>
        <c:majorUnit val="2"/>
      </c:valAx>
      <c:valAx>
        <c:axId val="176738656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537008"/>
        <c:crosses val="max"/>
        <c:crossBetween val="between"/>
        <c:majorUnit val="2.0000000000000004E-2"/>
      </c:valAx>
      <c:catAx>
        <c:axId val="1743537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67386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_xlchart.v5.1</cx:f>
      </cx:numDim>
    </cx:data>
  </cx:chartData>
  <cx:chart>
    <cx:title pos="t" align="ctr" overlay="0">
      <cx:tx>
        <cx:txData>
          <cx:v>EBITDA CHART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EBITDA CHART</a:t>
          </a:r>
        </a:p>
      </cx:txPr>
    </cx:title>
    <cx:plotArea>
      <cx:plotAreaRegion>
        <cx:series layoutId="waterfall" uniqueId="{F72125C1-C35E-49F8-931F-420CF0E4403D}">
          <cx:dataPt idx="0">
            <cx:spPr>
              <a:solidFill>
                <a:srgbClr val="00B050"/>
              </a:solidFill>
            </cx:spPr>
          </cx:dataPt>
          <cx:dataPt idx="1">
            <cx:spPr>
              <a:solidFill>
                <a:srgbClr val="FF0000"/>
              </a:solidFill>
            </cx:spPr>
          </cx:dataPt>
          <cx:dataPt idx="2">
            <cx:spPr>
              <a:solidFill>
                <a:srgbClr val="FF0000"/>
              </a:solidFill>
            </cx:spPr>
          </cx:dataPt>
          <cx:dataPt idx="3">
            <cx:spPr>
              <a:solidFill>
                <a:srgbClr val="FF0000"/>
              </a:solidFill>
            </cx:spPr>
          </cx:dataPt>
          <cx:dataPt idx="4">
            <cx:spPr>
              <a:solidFill>
                <a:srgbClr val="00B050"/>
              </a:solidFill>
              <a:effectLst>
                <a:outerShdw blurRad="50800" dist="50800" dir="5400000" algn="ctr" rotWithShape="0">
                  <a:sysClr val="window" lastClr="FFFFFF"/>
                </a:outerShdw>
              </a:effectLst>
            </cx:spPr>
          </cx:dataPt>
          <cx:dataPt idx="5">
            <cx:spPr>
              <a:solidFill>
                <a:srgbClr val="1F497D">
                  <a:lumMod val="50000"/>
                </a:srgbClr>
              </a:solidFill>
            </cx:spPr>
          </cx:dataPt>
          <cx:dataId val="0"/>
          <cx:layoutPr>
            <cx:subtotals>
              <cx:idx val="5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>
          <cx:spPr>
            <a:ln>
              <a:solidFill>
                <a:schemeClr val="bg1">
                  <a:lumMod val="50000"/>
                  <a:alpha val="25000"/>
                </a:schemeClr>
              </a:solidFill>
            </a:ln>
          </cx:spPr>
        </cx:majorGridlines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spPr>
    <a:noFill/>
    <a:ln>
      <a:noFill/>
    </a:ln>
  </cx:spPr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  <cx:fmtOvr idx="2">
      <cx:spPr>
        <a:solidFill>
          <a:schemeClr val="tx2">
            <a:lumMod val="50000"/>
          </a:schemeClr>
        </a:solidFill>
      </cx:spPr>
    </cx:fmtOvr>
  </cx:fmtOvrs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_xlchart.v5.2</cx:f>
      </cx:strDim>
      <cx:numDim type="val">
        <cx:f>_xlchart.v5.3</cx:f>
      </cx:numDim>
    </cx:data>
  </cx:chartData>
  <cx:chart>
    <cx:title pos="t" align="ctr" overlay="0">
      <cx:tx>
        <cx:txData>
          <cx:v>EBITDA Bridge FY17-FY18</cx:v>
        </cx:txData>
      </cx:tx>
      <cx:txPr>
        <a:bodyPr vertOverflow="overflow" horzOverflow="overflow" wrap="square" lIns="0" tIns="0" rIns="0" bIns="0"/>
        <a:lstStyle/>
        <a:p>
          <a:pPr lvl="4" algn="ctr" rtl="0">
            <a:defRPr sz="800" b="0" i="0">
              <a:solidFill>
                <a:srgbClr val="595959"/>
              </a:solidFill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r>
            <a:rPr lang="en-US" sz="900" b="1">
              <a:solidFill>
                <a:schemeClr val="tx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EBITDA Bridge FY17-FY18</a:t>
          </a:r>
        </a:p>
      </cx:txPr>
    </cx:title>
    <cx:plotArea>
      <cx:plotAreaRegion>
        <cx:series layoutId="waterfall" uniqueId="{DBC2B161-EA39-4729-9D33-1844C61D8C67}">
          <cx:spPr>
            <a:ln>
              <a:solidFill>
                <a:schemeClr val="bg1"/>
              </a:solidFill>
            </a:ln>
          </cx:spPr>
          <cx:dataPt idx="0">
            <cx:spPr>
              <a:solidFill>
                <a:srgbClr val="1F497D">
                  <a:lumMod val="50000"/>
                </a:srgbClr>
              </a:solidFill>
            </cx:spPr>
          </cx:dataPt>
          <cx:dataPt idx="1">
            <cx:spPr>
              <a:solidFill>
                <a:srgbClr val="00B050"/>
              </a:solidFill>
            </cx:spPr>
          </cx:dataPt>
          <cx:dataPt idx="2">
            <cx:spPr>
              <a:solidFill>
                <a:srgbClr val="FF0000"/>
              </a:solidFill>
            </cx:spPr>
          </cx:dataPt>
          <cx:dataPt idx="3">
            <cx:spPr>
              <a:solidFill>
                <a:srgbClr val="00B050"/>
              </a:solidFill>
            </cx:spPr>
          </cx:dataPt>
          <cx:dataPt idx="4">
            <cx:spPr>
              <a:solidFill>
                <a:srgbClr val="1F497D">
                  <a:lumMod val="50000"/>
                </a:srgbClr>
              </a:solidFill>
            </cx:spPr>
          </cx:dataPt>
          <cx:dataLabels pos="outEnd">
            <cx:txPr>
              <a:bodyPr vertOverflow="overflow" horzOverflow="overflow" wrap="square" lIns="0" tIns="0" rIns="0" bIns="0"/>
              <a:lstStyle/>
              <a:p>
                <a:pPr algn="ctr" rtl="0">
                  <a:defRPr sz="800" b="0" i="0">
                    <a:solidFill>
                      <a:srgbClr val="595959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 sz="8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0" value="1"/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699999988"/>
        <cx:tickLabels/>
        <cx:txPr>
          <a:bodyPr vertOverflow="overflow" horzOverflow="overflow" wrap="square" lIns="0" tIns="0" rIns="0" bIns="0"/>
          <a:lstStyle/>
          <a:p>
            <a:pPr algn="ctr" rtl="0">
              <a:defRPr sz="8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8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/>
        <cx:title>
          <cx:tx>
            <cx:txData>
              <cx:v>EUR in millions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800" b="1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EUR in millions</a:t>
              </a:r>
            </a:p>
          </cx:txPr>
        </cx:title>
        <cx:majorGridlines/>
        <cx:minorGridlines>
          <cx:spPr>
            <a:ln>
              <a:solidFill>
                <a:schemeClr val="bg1"/>
              </a:solidFill>
            </a:ln>
          </cx:spPr>
        </cx:minorGridlines>
        <cx:tickLabels/>
        <cx:spPr>
          <a:ln>
            <a:solidFill>
              <a:schemeClr val="bg1">
                <a:lumMod val="95000"/>
              </a:schemeClr>
            </a:solidFill>
          </a:ln>
        </cx:spPr>
        <cx:txPr>
          <a:bodyPr vertOverflow="overflow" horzOverflow="overflow" wrap="square" lIns="0" tIns="0" rIns="0" bIns="0"/>
          <a:lstStyle/>
          <a:p>
            <a:pPr algn="ctr" rtl="0">
              <a:defRPr sz="8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8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</cx:chart>
  <cx:spPr>
    <a:noFill/>
    <a:ln>
      <a:noFill/>
    </a:ln>
  </cx:spPr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  <cx:fmtOvr idx="2">
      <cx:spPr>
        <a:solidFill>
          <a:srgbClr val="002060"/>
        </a:solidFill>
      </cx:spPr>
    </cx:fmtOvr>
  </cx:fmtOvrs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size">
        <cx:f>_xlchart.v1.6</cx:f>
      </cx:numDim>
    </cx:data>
  </cx:chartData>
  <cx:chart>
    <cx:title pos="t" align="ctr" overlay="0">
      <cx:tx>
        <cx:txData>
          <cx:v>Tree-map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Tree-map</a:t>
          </a:r>
        </a:p>
      </cx:txPr>
    </cx:title>
    <cx:plotArea>
      <cx:plotAreaRegion>
        <cx:series layoutId="treemap" uniqueId="{596F4211-386D-49E8-B947-94F53A854B1D}">
          <cx:tx>
            <cx:txData>
              <cx:f>_xlchart.v1.5</cx:f>
              <cx:v>Tourists</cx:v>
            </cx:txData>
          </cx:tx>
          <cx:dataPt idx="0">
            <cx:spPr>
              <a:solidFill>
                <a:srgbClr val="1F497D">
                  <a:lumMod val="50000"/>
                </a:srgbClr>
              </a:solidFill>
            </cx:spPr>
          </cx:dataPt>
          <cx:dataPt idx="4">
            <cx:spPr>
              <a:solidFill>
                <a:srgbClr val="1F497D">
                  <a:lumMod val="60000"/>
                  <a:lumOff val="40000"/>
                </a:srgbClr>
              </a:solidFill>
            </cx:spPr>
          </cx:dataPt>
          <cx:dataPt idx="8">
            <cx:spPr>
              <a:solidFill>
                <a:srgbClr val="4F81BD">
                  <a:lumMod val="75000"/>
                </a:srgbClr>
              </a:solidFill>
            </cx:spPr>
          </cx:dataPt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t" align="ctr" overlay="0"/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7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8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204952</xdr:colOff>
      <xdr:row>43</xdr:row>
      <xdr:rowOff>126124</xdr:rowOff>
    </xdr:from>
    <xdr:to>
      <xdr:col>6</xdr:col>
      <xdr:colOff>120870</xdr:colOff>
      <xdr:row>55</xdr:row>
      <xdr:rowOff>115612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AB814D-F0FA-4773-A5E1-B3922D570C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246994</xdr:colOff>
      <xdr:row>2</xdr:row>
      <xdr:rowOff>31531</xdr:rowOff>
    </xdr:from>
    <xdr:to>
      <xdr:col>11</xdr:col>
      <xdr:colOff>591208</xdr:colOff>
      <xdr:row>17</xdr:row>
      <xdr:rowOff>42041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412D89-92FA-48EE-95B2-DC1EBC3052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23445</xdr:colOff>
      <xdr:row>3</xdr:row>
      <xdr:rowOff>58616</xdr:rowOff>
    </xdr:from>
    <xdr:to>
      <xdr:col>12</xdr:col>
      <xdr:colOff>55683</xdr:colOff>
      <xdr:row>19</xdr:row>
      <xdr:rowOff>93784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BE5CF7-4437-45CE-9EF8-E5ECC94229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35168</xdr:colOff>
      <xdr:row>6</xdr:row>
      <xdr:rowOff>111371</xdr:rowOff>
    </xdr:from>
    <xdr:to>
      <xdr:col>15</xdr:col>
      <xdr:colOff>234461</xdr:colOff>
      <xdr:row>9</xdr:row>
      <xdr:rowOff>46893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DBEBDEE-B3D1-4878-8D19-7A028A18FB86}"/>
            </a:ext>
          </a:extLst>
        </xdr:cNvPr>
        <xdr:cNvSpPr txBox="1"/>
      </xdr:nvSpPr>
      <xdr:spPr>
        <a:xfrm>
          <a:off x="8270630" y="961294"/>
          <a:ext cx="808893" cy="322384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€</a:t>
          </a:r>
          <a:r>
            <a:rPr lang="en-US" sz="9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26.3m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0.27323</cdr:x>
      <cdr:y>0.48375</cdr:y>
    </cdr:from>
    <cdr:to>
      <cdr:x>0.46386</cdr:x>
      <cdr:y>0.60724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DDBEBDEE-B3D1-4878-8D19-7A028A18FB86}"/>
            </a:ext>
          </a:extLst>
        </cdr:cNvPr>
        <cdr:cNvSpPr txBox="1"/>
      </cdr:nvSpPr>
      <cdr:spPr>
        <a:xfrm xmlns:a="http://schemas.openxmlformats.org/drawingml/2006/main">
          <a:off x="1008187" y="1017954"/>
          <a:ext cx="703384" cy="259862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€26.3m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55685</xdr:colOff>
      <xdr:row>4</xdr:row>
      <xdr:rowOff>11723</xdr:rowOff>
    </xdr:from>
    <xdr:to>
      <xdr:col>15</xdr:col>
      <xdr:colOff>360485</xdr:colOff>
      <xdr:row>25</xdr:row>
      <xdr:rowOff>41031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CA723F-9910-4292-87D3-A4A0358103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55685</xdr:colOff>
      <xdr:row>4</xdr:row>
      <xdr:rowOff>82061</xdr:rowOff>
    </xdr:from>
    <xdr:to>
      <xdr:col>12</xdr:col>
      <xdr:colOff>360485</xdr:colOff>
      <xdr:row>25</xdr:row>
      <xdr:rowOff>11723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EB0191DC-FCD4-4719-BBC7-07A3575677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38965" y="668801"/>
              <a:ext cx="4572000" cy="27414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254000</xdr:colOff>
      <xdr:row>9</xdr:row>
      <xdr:rowOff>96959</xdr:rowOff>
    </xdr:from>
    <xdr:to>
      <xdr:col>13</xdr:col>
      <xdr:colOff>202371</xdr:colOff>
      <xdr:row>22</xdr:row>
      <xdr:rowOff>88253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330CEFA-5783-48C5-B402-C5AB041497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35300" y="1285679"/>
              <a:ext cx="5434771" cy="16753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491358</xdr:colOff>
      <xdr:row>1</xdr:row>
      <xdr:rowOff>194441</xdr:rowOff>
    </xdr:from>
    <xdr:to>
      <xdr:col>14</xdr:col>
      <xdr:colOff>186558</xdr:colOff>
      <xdr:row>22</xdr:row>
      <xdr:rowOff>99848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EB886C5-444E-4C3D-9D0F-4F397FDA15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6558" y="323981"/>
              <a:ext cx="4572000" cy="27095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5" sqref="C5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105</v>
      </c>
    </row>
    <row r="2" spans="2:4" ht="12" x14ac:dyDescent="0.25">
      <c r="B2" s="7" t="s">
        <v>58</v>
      </c>
    </row>
    <row r="4" spans="2:4" ht="12.6" thickBot="1" x14ac:dyDescent="0.3">
      <c r="B4" s="13" t="s">
        <v>59</v>
      </c>
      <c r="C4" s="13" t="s">
        <v>60</v>
      </c>
      <c r="D4" s="13" t="s">
        <v>61</v>
      </c>
    </row>
    <row r="5" spans="2:4" x14ac:dyDescent="0.2">
      <c r="B5" s="8">
        <v>1</v>
      </c>
      <c r="C5" s="15" t="s">
        <v>62</v>
      </c>
    </row>
    <row r="6" spans="2:4" ht="12" x14ac:dyDescent="0.25">
      <c r="B6" s="11">
        <v>2</v>
      </c>
      <c r="C6" s="12" t="s">
        <v>63</v>
      </c>
      <c r="D6" s="12"/>
    </row>
    <row r="7" spans="2:4" x14ac:dyDescent="0.2">
      <c r="B7" s="8">
        <v>3</v>
      </c>
      <c r="C7" s="16" t="s">
        <v>106</v>
      </c>
    </row>
    <row r="8" spans="2:4" x14ac:dyDescent="0.2">
      <c r="B8" s="8">
        <v>4</v>
      </c>
      <c r="C8" s="16" t="s">
        <v>107</v>
      </c>
    </row>
    <row r="9" spans="2:4" x14ac:dyDescent="0.2">
      <c r="B9" s="8">
        <v>5</v>
      </c>
      <c r="C9" s="16" t="s">
        <v>108</v>
      </c>
    </row>
    <row r="10" spans="2:4" ht="12" x14ac:dyDescent="0.25">
      <c r="B10" s="11">
        <v>6</v>
      </c>
      <c r="C10" s="12" t="s">
        <v>64</v>
      </c>
      <c r="D10" s="12"/>
    </row>
    <row r="11" spans="2:4" x14ac:dyDescent="0.2">
      <c r="B11" s="8">
        <v>7</v>
      </c>
      <c r="C11" s="15" t="s">
        <v>93</v>
      </c>
    </row>
    <row r="12" spans="2:4" x14ac:dyDescent="0.2">
      <c r="B12" s="8">
        <v>8</v>
      </c>
      <c r="C12" s="15" t="s">
        <v>94</v>
      </c>
    </row>
    <row r="13" spans="2:4" ht="12" x14ac:dyDescent="0.25">
      <c r="B13" s="9">
        <v>19</v>
      </c>
      <c r="C13" s="12" t="s">
        <v>95</v>
      </c>
      <c r="D13" s="10"/>
    </row>
    <row r="14" spans="2:4" x14ac:dyDescent="0.2">
      <c r="B14" s="8">
        <v>20</v>
      </c>
      <c r="C14" s="15" t="s">
        <v>96</v>
      </c>
    </row>
    <row r="15" spans="2:4" x14ac:dyDescent="0.2">
      <c r="B15" s="8">
        <v>21</v>
      </c>
      <c r="C15" s="15" t="s">
        <v>97</v>
      </c>
    </row>
    <row r="16" spans="2:4" x14ac:dyDescent="0.2">
      <c r="B16" s="8">
        <v>22</v>
      </c>
      <c r="C16" s="15" t="s">
        <v>98</v>
      </c>
    </row>
    <row r="17" spans="2:3" x14ac:dyDescent="0.2">
      <c r="B17" s="8">
        <v>23</v>
      </c>
      <c r="C17" s="15" t="s">
        <v>99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B4" sqref="B4:G25"/>
    </sheetView>
  </sheetViews>
  <sheetFormatPr defaultColWidth="9.109375" defaultRowHeight="11.4" x14ac:dyDescent="0.2"/>
  <cols>
    <col min="1" max="1" width="2" style="2" customWidth="1"/>
    <col min="2" max="2" width="25.6640625" style="2" customWidth="1"/>
    <col min="3" max="3" width="19.109375" style="2" customWidth="1"/>
    <col min="4" max="4" width="23.6640625" style="2" customWidth="1"/>
    <col min="5" max="5" width="12.21875" style="17" customWidth="1"/>
    <col min="6" max="6" width="15" style="2" customWidth="1"/>
    <col min="7" max="7" width="15.77734375" style="2" customWidth="1"/>
    <col min="8" max="16384" width="9.109375" style="2"/>
  </cols>
  <sheetData>
    <row r="1" spans="2:7" ht="15.6" x14ac:dyDescent="0.3">
      <c r="B1" s="3" t="s">
        <v>109</v>
      </c>
    </row>
    <row r="4" spans="2:7" x14ac:dyDescent="0.2">
      <c r="B4" s="17" t="s">
        <v>112</v>
      </c>
      <c r="C4" s="17" t="s">
        <v>32</v>
      </c>
      <c r="D4" s="17" t="s">
        <v>113</v>
      </c>
      <c r="E4" s="17" t="s">
        <v>114</v>
      </c>
      <c r="F4" s="17" t="s">
        <v>115</v>
      </c>
      <c r="G4" s="2" t="s">
        <v>116</v>
      </c>
    </row>
    <row r="5" spans="2:7" x14ac:dyDescent="0.2">
      <c r="B5" s="17" t="s">
        <v>66</v>
      </c>
      <c r="C5" s="17">
        <v>111111</v>
      </c>
      <c r="D5" s="17" t="s">
        <v>100</v>
      </c>
      <c r="E5" s="18">
        <v>-14500341</v>
      </c>
      <c r="F5" s="19">
        <v>2001110000</v>
      </c>
      <c r="G5" s="2" t="s">
        <v>117</v>
      </c>
    </row>
    <row r="6" spans="2:7" x14ac:dyDescent="0.2">
      <c r="B6" s="17" t="s">
        <v>67</v>
      </c>
      <c r="C6" s="17">
        <v>111111</v>
      </c>
      <c r="D6" s="17" t="s">
        <v>100</v>
      </c>
      <c r="E6" s="18">
        <v>-4794856.1919999998</v>
      </c>
      <c r="F6" s="19">
        <v>2001190000</v>
      </c>
      <c r="G6" s="2" t="s">
        <v>118</v>
      </c>
    </row>
    <row r="7" spans="2:7" x14ac:dyDescent="0.2">
      <c r="B7" s="17" t="s">
        <v>68</v>
      </c>
      <c r="C7" s="17">
        <v>1009</v>
      </c>
      <c r="D7" s="17" t="s">
        <v>36</v>
      </c>
      <c r="E7" s="18">
        <v>-154890.4</v>
      </c>
      <c r="F7" s="19">
        <v>2020000000</v>
      </c>
      <c r="G7" s="2" t="s">
        <v>119</v>
      </c>
    </row>
    <row r="8" spans="2:7" x14ac:dyDescent="0.2">
      <c r="B8" s="17" t="s">
        <v>68</v>
      </c>
      <c r="C8" s="17">
        <v>1007</v>
      </c>
      <c r="D8" s="17" t="s">
        <v>38</v>
      </c>
      <c r="E8" s="18">
        <v>-1180894.0520000001</v>
      </c>
      <c r="F8" s="19">
        <v>2020000000</v>
      </c>
      <c r="G8" s="2" t="s">
        <v>120</v>
      </c>
    </row>
    <row r="9" spans="2:7" x14ac:dyDescent="0.2">
      <c r="B9" s="17" t="s">
        <v>68</v>
      </c>
      <c r="C9" s="17">
        <v>1008</v>
      </c>
      <c r="D9" s="17" t="s">
        <v>40</v>
      </c>
      <c r="E9" s="18">
        <v>-793079.51199999999</v>
      </c>
      <c r="F9" s="19">
        <v>2020000000</v>
      </c>
      <c r="G9" s="2" t="s">
        <v>121</v>
      </c>
    </row>
    <row r="10" spans="2:7" x14ac:dyDescent="0.2">
      <c r="B10" s="17" t="s">
        <v>68</v>
      </c>
      <c r="C10" s="17">
        <v>111101</v>
      </c>
      <c r="D10" s="17" t="s">
        <v>1</v>
      </c>
      <c r="E10" s="18">
        <v>-2277197.6</v>
      </c>
      <c r="F10" s="19">
        <v>2020000000</v>
      </c>
      <c r="G10" s="2" t="s">
        <v>122</v>
      </c>
    </row>
    <row r="11" spans="2:7" x14ac:dyDescent="0.2">
      <c r="B11" s="17" t="s">
        <v>101</v>
      </c>
      <c r="C11" s="17">
        <v>111111</v>
      </c>
      <c r="D11" s="17" t="s">
        <v>100</v>
      </c>
      <c r="E11" s="18">
        <v>4428911.7640000004</v>
      </c>
      <c r="F11" s="19">
        <v>2021900000</v>
      </c>
      <c r="G11" s="2" t="s">
        <v>123</v>
      </c>
    </row>
    <row r="12" spans="2:7" x14ac:dyDescent="0.2">
      <c r="B12" s="17" t="s">
        <v>70</v>
      </c>
      <c r="C12" s="17">
        <v>111111</v>
      </c>
      <c r="D12" s="17" t="s">
        <v>100</v>
      </c>
      <c r="E12" s="18">
        <v>16977.628000000001</v>
      </c>
      <c r="F12" s="19">
        <v>2024080000</v>
      </c>
      <c r="G12" s="2" t="s">
        <v>124</v>
      </c>
    </row>
    <row r="13" spans="2:7" x14ac:dyDescent="0.2">
      <c r="B13" s="17" t="s">
        <v>69</v>
      </c>
      <c r="C13" s="17">
        <v>88</v>
      </c>
      <c r="D13" s="17" t="s">
        <v>33</v>
      </c>
      <c r="E13" s="18">
        <v>2245437.54</v>
      </c>
      <c r="F13" s="19">
        <v>2024090000</v>
      </c>
      <c r="G13" s="2" t="s">
        <v>125</v>
      </c>
    </row>
    <row r="14" spans="2:7" x14ac:dyDescent="0.2">
      <c r="B14" s="17" t="s">
        <v>69</v>
      </c>
      <c r="C14" s="17">
        <v>111111</v>
      </c>
      <c r="D14" s="17" t="s">
        <v>100</v>
      </c>
      <c r="E14" s="18">
        <v>16605.634000000002</v>
      </c>
      <c r="F14" s="19">
        <v>2024090000</v>
      </c>
      <c r="G14" s="2" t="s">
        <v>126</v>
      </c>
    </row>
    <row r="15" spans="2:7" x14ac:dyDescent="0.2">
      <c r="B15" s="17" t="s">
        <v>2</v>
      </c>
      <c r="C15" s="17">
        <v>111111</v>
      </c>
      <c r="D15" s="17" t="s">
        <v>100</v>
      </c>
      <c r="E15" s="18">
        <v>4683394.0460000001</v>
      </c>
      <c r="F15" s="19">
        <v>2041000000</v>
      </c>
      <c r="G15" s="2" t="s">
        <v>127</v>
      </c>
    </row>
    <row r="16" spans="2:7" x14ac:dyDescent="0.2">
      <c r="B16" s="17" t="s">
        <v>71</v>
      </c>
      <c r="C16" s="17">
        <v>111101</v>
      </c>
      <c r="D16" s="17" t="s">
        <v>1</v>
      </c>
      <c r="E16" s="18">
        <v>1143051.5760000001</v>
      </c>
      <c r="F16" s="19">
        <v>2042000000</v>
      </c>
      <c r="G16" s="2" t="s">
        <v>128</v>
      </c>
    </row>
    <row r="17" spans="2:7" x14ac:dyDescent="0.2">
      <c r="B17" s="17" t="s">
        <v>71</v>
      </c>
      <c r="C17" s="17">
        <v>88</v>
      </c>
      <c r="D17" s="17" t="s">
        <v>33</v>
      </c>
      <c r="E17" s="18">
        <v>239379.61800000002</v>
      </c>
      <c r="F17" s="19">
        <v>2042000000</v>
      </c>
      <c r="G17" s="2" t="s">
        <v>129</v>
      </c>
    </row>
    <row r="18" spans="2:7" x14ac:dyDescent="0.2">
      <c r="B18" s="17" t="s">
        <v>72</v>
      </c>
      <c r="C18" s="17">
        <v>111101</v>
      </c>
      <c r="D18" s="17" t="s">
        <v>1</v>
      </c>
      <c r="E18" s="18">
        <v>104913.8</v>
      </c>
      <c r="F18" s="19">
        <v>2045000000</v>
      </c>
      <c r="G18" s="2" t="s">
        <v>130</v>
      </c>
    </row>
    <row r="19" spans="2:7" x14ac:dyDescent="0.2">
      <c r="B19" s="17" t="s">
        <v>73</v>
      </c>
      <c r="C19" s="17">
        <v>111101</v>
      </c>
      <c r="D19" s="17" t="s">
        <v>1</v>
      </c>
      <c r="E19" s="18">
        <v>2003262.2180000001</v>
      </c>
      <c r="F19" s="19">
        <v>2051210000</v>
      </c>
      <c r="G19" s="2" t="s">
        <v>131</v>
      </c>
    </row>
    <row r="20" spans="2:7" x14ac:dyDescent="0.2">
      <c r="B20" s="17" t="s">
        <v>73</v>
      </c>
      <c r="C20" s="17">
        <v>1</v>
      </c>
      <c r="D20" s="17" t="s">
        <v>1</v>
      </c>
      <c r="E20" s="18">
        <v>41981.296000000002</v>
      </c>
      <c r="F20" s="19">
        <v>2051210000</v>
      </c>
      <c r="G20" s="2" t="s">
        <v>132</v>
      </c>
    </row>
    <row r="21" spans="2:7" x14ac:dyDescent="0.2">
      <c r="B21" s="17" t="s">
        <v>74</v>
      </c>
      <c r="C21" s="17" t="s">
        <v>4</v>
      </c>
      <c r="D21" s="17" t="s">
        <v>41</v>
      </c>
      <c r="E21" s="18">
        <v>-2156147.4</v>
      </c>
      <c r="F21" s="19">
        <v>2069010000</v>
      </c>
      <c r="G21" s="2" t="s">
        <v>133</v>
      </c>
    </row>
    <row r="22" spans="2:7" x14ac:dyDescent="0.2">
      <c r="B22" s="17" t="s">
        <v>74</v>
      </c>
      <c r="C22" s="17">
        <v>14</v>
      </c>
      <c r="D22" s="17" t="s">
        <v>42</v>
      </c>
      <c r="E22" s="18">
        <v>-291428.55199999997</v>
      </c>
      <c r="F22" s="19">
        <v>2069010000</v>
      </c>
      <c r="G22" s="2" t="s">
        <v>134</v>
      </c>
    </row>
    <row r="23" spans="2:7" x14ac:dyDescent="0.2">
      <c r="B23" s="17" t="s">
        <v>74</v>
      </c>
      <c r="C23" s="17">
        <v>1037</v>
      </c>
      <c r="D23" s="17" t="s">
        <v>47</v>
      </c>
      <c r="E23" s="18">
        <v>0</v>
      </c>
      <c r="F23" s="19">
        <v>2069010000</v>
      </c>
      <c r="G23" s="2" t="s">
        <v>135</v>
      </c>
    </row>
    <row r="24" spans="2:7" x14ac:dyDescent="0.2">
      <c r="B24" s="17" t="s">
        <v>74</v>
      </c>
      <c r="C24" s="17" t="s">
        <v>5</v>
      </c>
      <c r="D24" s="17" t="s">
        <v>46</v>
      </c>
      <c r="E24" s="18">
        <v>-33736.5</v>
      </c>
      <c r="F24" s="19">
        <v>2069010000</v>
      </c>
      <c r="G24" s="2" t="s">
        <v>136</v>
      </c>
    </row>
    <row r="25" spans="2:7" x14ac:dyDescent="0.2">
      <c r="B25" s="17" t="s">
        <v>74</v>
      </c>
      <c r="C25" s="17">
        <v>1009</v>
      </c>
      <c r="D25" s="17" t="s">
        <v>36</v>
      </c>
      <c r="E25" s="18">
        <v>0</v>
      </c>
      <c r="F25" s="19">
        <v>2069010000</v>
      </c>
      <c r="G25" s="2" t="s">
        <v>137</v>
      </c>
    </row>
    <row r="26" spans="2:7" x14ac:dyDescent="0.2">
      <c r="B26" s="17" t="s">
        <v>74</v>
      </c>
      <c r="C26" s="17">
        <v>1007</v>
      </c>
      <c r="D26" s="17" t="s">
        <v>38</v>
      </c>
      <c r="E26" s="18">
        <v>0</v>
      </c>
      <c r="F26" s="19">
        <v>2069010000</v>
      </c>
      <c r="G26" s="2" t="s">
        <v>138</v>
      </c>
    </row>
    <row r="27" spans="2:7" x14ac:dyDescent="0.2">
      <c r="B27" s="17" t="s">
        <v>74</v>
      </c>
      <c r="C27" s="17">
        <v>1008</v>
      </c>
      <c r="D27" s="17" t="s">
        <v>40</v>
      </c>
      <c r="E27" s="18">
        <v>0</v>
      </c>
      <c r="F27" s="19">
        <v>2069010000</v>
      </c>
      <c r="G27" s="2" t="s">
        <v>139</v>
      </c>
    </row>
    <row r="28" spans="2:7" x14ac:dyDescent="0.2">
      <c r="B28" s="17" t="s">
        <v>74</v>
      </c>
      <c r="C28" s="17">
        <v>1240</v>
      </c>
      <c r="D28" s="17" t="s">
        <v>45</v>
      </c>
      <c r="E28" s="18">
        <v>-199600.4</v>
      </c>
      <c r="F28" s="19">
        <v>2069010000</v>
      </c>
      <c r="G28" s="2" t="s">
        <v>140</v>
      </c>
    </row>
    <row r="29" spans="2:7" x14ac:dyDescent="0.2">
      <c r="B29" s="17" t="s">
        <v>74</v>
      </c>
      <c r="C29" s="17">
        <v>111111</v>
      </c>
      <c r="D29" s="17" t="s">
        <v>100</v>
      </c>
      <c r="E29" s="18">
        <v>-539141.4</v>
      </c>
      <c r="F29" s="19">
        <v>2069010000</v>
      </c>
      <c r="G29" s="2" t="s">
        <v>141</v>
      </c>
    </row>
    <row r="30" spans="2:7" x14ac:dyDescent="0.2">
      <c r="B30" s="17" t="s">
        <v>75</v>
      </c>
      <c r="C30" s="17">
        <v>111111</v>
      </c>
      <c r="D30" s="17" t="s">
        <v>100</v>
      </c>
      <c r="E30" s="18">
        <v>-57.221999999999994</v>
      </c>
      <c r="F30" s="19">
        <v>2069980000</v>
      </c>
      <c r="G30" s="2" t="s">
        <v>142</v>
      </c>
    </row>
    <row r="31" spans="2:7" x14ac:dyDescent="0.2">
      <c r="B31" s="17" t="s">
        <v>76</v>
      </c>
      <c r="C31" s="17">
        <v>111111</v>
      </c>
      <c r="D31" s="17" t="s">
        <v>100</v>
      </c>
      <c r="E31" s="18">
        <v>22314.879999999997</v>
      </c>
      <c r="F31" s="19">
        <v>2070400000</v>
      </c>
      <c r="G31" s="2" t="s">
        <v>143</v>
      </c>
    </row>
    <row r="32" spans="2:7" x14ac:dyDescent="0.2">
      <c r="B32" s="17" t="s">
        <v>77</v>
      </c>
      <c r="C32" s="17">
        <v>88</v>
      </c>
      <c r="D32" s="17" t="s">
        <v>33</v>
      </c>
      <c r="E32" s="18">
        <v>204000</v>
      </c>
      <c r="F32" s="19">
        <v>2070500000</v>
      </c>
      <c r="G32" s="2" t="s">
        <v>144</v>
      </c>
    </row>
    <row r="33" spans="2:7" x14ac:dyDescent="0.2">
      <c r="B33" s="17" t="s">
        <v>77</v>
      </c>
      <c r="C33" s="17">
        <v>111111</v>
      </c>
      <c r="D33" s="17" t="s">
        <v>100</v>
      </c>
      <c r="E33" s="18">
        <v>138.41399999999999</v>
      </c>
      <c r="F33" s="19">
        <v>2070500000</v>
      </c>
      <c r="G33" s="2" t="s">
        <v>145</v>
      </c>
    </row>
    <row r="34" spans="2:7" x14ac:dyDescent="0.2">
      <c r="B34" s="17" t="s">
        <v>78</v>
      </c>
      <c r="C34" s="17">
        <v>111111</v>
      </c>
      <c r="D34" s="17" t="s">
        <v>100</v>
      </c>
      <c r="E34" s="18">
        <v>1127445.872</v>
      </c>
      <c r="F34" s="19">
        <v>2070600000</v>
      </c>
      <c r="G34" s="2" t="s">
        <v>146</v>
      </c>
    </row>
    <row r="35" spans="2:7" x14ac:dyDescent="0.2">
      <c r="B35" s="17" t="s">
        <v>79</v>
      </c>
      <c r="C35" s="17" t="s">
        <v>6</v>
      </c>
      <c r="D35" s="17" t="s">
        <v>43</v>
      </c>
      <c r="E35" s="18">
        <v>133722</v>
      </c>
      <c r="F35" s="19">
        <v>2070900000</v>
      </c>
      <c r="G35" s="2" t="s">
        <v>147</v>
      </c>
    </row>
    <row r="36" spans="2:7" x14ac:dyDescent="0.2">
      <c r="B36" s="17" t="s">
        <v>79</v>
      </c>
      <c r="C36" s="17" t="s">
        <v>7</v>
      </c>
      <c r="D36" s="17" t="s">
        <v>44</v>
      </c>
      <c r="E36" s="18">
        <v>328061.886</v>
      </c>
      <c r="F36" s="19">
        <v>2070900000</v>
      </c>
      <c r="G36" s="2" t="s">
        <v>148</v>
      </c>
    </row>
    <row r="37" spans="2:7" x14ac:dyDescent="0.2">
      <c r="B37" s="17" t="s">
        <v>79</v>
      </c>
      <c r="C37" s="17">
        <v>111111</v>
      </c>
      <c r="D37" s="17" t="s">
        <v>100</v>
      </c>
      <c r="E37" s="18">
        <v>2081304.3219999997</v>
      </c>
      <c r="F37" s="19">
        <v>2070900000</v>
      </c>
      <c r="G37" s="2" t="s">
        <v>149</v>
      </c>
    </row>
    <row r="38" spans="2:7" x14ac:dyDescent="0.2">
      <c r="B38" s="17" t="s">
        <v>8</v>
      </c>
      <c r="C38" s="17">
        <v>111111</v>
      </c>
      <c r="D38" s="17" t="s">
        <v>100</v>
      </c>
      <c r="E38" s="18">
        <v>33410.031999999999</v>
      </c>
      <c r="F38" s="19">
        <v>2071000000</v>
      </c>
      <c r="G38" s="2" t="s">
        <v>150</v>
      </c>
    </row>
    <row r="39" spans="2:7" x14ac:dyDescent="0.2">
      <c r="B39" s="17" t="s">
        <v>80</v>
      </c>
      <c r="C39" s="17">
        <v>111111</v>
      </c>
      <c r="D39" s="17" t="s">
        <v>100</v>
      </c>
      <c r="E39" s="18">
        <v>213090.85199999998</v>
      </c>
      <c r="F39" s="19">
        <v>2071100000</v>
      </c>
      <c r="G39" s="2" t="s">
        <v>151</v>
      </c>
    </row>
    <row r="40" spans="2:7" x14ac:dyDescent="0.2">
      <c r="B40" s="17" t="s">
        <v>9</v>
      </c>
      <c r="C40" s="17">
        <v>111111</v>
      </c>
      <c r="D40" s="17" t="s">
        <v>100</v>
      </c>
      <c r="E40" s="18">
        <v>1813525.004</v>
      </c>
      <c r="F40" s="19">
        <v>2071209200</v>
      </c>
      <c r="G40" s="2" t="s">
        <v>152</v>
      </c>
    </row>
    <row r="41" spans="2:7" x14ac:dyDescent="0.2">
      <c r="B41" s="17" t="s">
        <v>81</v>
      </c>
      <c r="C41" s="17">
        <v>111111</v>
      </c>
      <c r="D41" s="17" t="s">
        <v>100</v>
      </c>
      <c r="E41" s="18">
        <v>5552.2</v>
      </c>
      <c r="F41" s="19">
        <v>2071209400</v>
      </c>
      <c r="G41" s="2" t="s">
        <v>153</v>
      </c>
    </row>
    <row r="42" spans="2:7" x14ac:dyDescent="0.2">
      <c r="B42" s="17" t="s">
        <v>82</v>
      </c>
      <c r="C42" s="17">
        <v>111111</v>
      </c>
      <c r="D42" s="17" t="s">
        <v>100</v>
      </c>
      <c r="E42" s="18">
        <v>43868.975999999995</v>
      </c>
      <c r="F42" s="19">
        <v>2071209500</v>
      </c>
      <c r="G42" s="2" t="s">
        <v>154</v>
      </c>
    </row>
    <row r="43" spans="2:7" x14ac:dyDescent="0.2">
      <c r="B43" s="17" t="s">
        <v>83</v>
      </c>
      <c r="C43" s="17">
        <v>111101</v>
      </c>
      <c r="D43" s="17" t="s">
        <v>1</v>
      </c>
      <c r="E43" s="18">
        <v>10934.671999999999</v>
      </c>
      <c r="F43" s="19">
        <v>2071980000</v>
      </c>
      <c r="G43" s="2" t="s">
        <v>155</v>
      </c>
    </row>
    <row r="44" spans="2:7" x14ac:dyDescent="0.2">
      <c r="B44" s="17" t="s">
        <v>84</v>
      </c>
      <c r="C44" s="17">
        <v>111111</v>
      </c>
      <c r="D44" s="17" t="s">
        <v>100</v>
      </c>
      <c r="E44" s="18">
        <v>20400</v>
      </c>
      <c r="F44" s="19">
        <v>2079022000</v>
      </c>
      <c r="G44" s="2" t="s">
        <v>156</v>
      </c>
    </row>
    <row r="45" spans="2:7" x14ac:dyDescent="0.2">
      <c r="B45" s="17" t="s">
        <v>85</v>
      </c>
      <c r="C45" s="17">
        <v>105</v>
      </c>
      <c r="D45" s="17" t="s">
        <v>34</v>
      </c>
      <c r="E45" s="18">
        <v>0</v>
      </c>
      <c r="F45" s="19">
        <v>2079070000</v>
      </c>
      <c r="G45" s="2" t="s">
        <v>157</v>
      </c>
    </row>
    <row r="46" spans="2:7" x14ac:dyDescent="0.2">
      <c r="B46" s="17" t="s">
        <v>85</v>
      </c>
      <c r="C46" s="17">
        <v>111111</v>
      </c>
      <c r="D46" s="17" t="s">
        <v>100</v>
      </c>
      <c r="E46" s="18">
        <v>563918.152</v>
      </c>
      <c r="F46" s="19">
        <v>2079070000</v>
      </c>
      <c r="G46" s="2" t="s">
        <v>158</v>
      </c>
    </row>
    <row r="47" spans="2:7" x14ac:dyDescent="0.2">
      <c r="B47" s="17" t="s">
        <v>86</v>
      </c>
      <c r="C47" s="17">
        <v>1009</v>
      </c>
      <c r="D47" s="17" t="s">
        <v>36</v>
      </c>
      <c r="E47" s="18">
        <v>0</v>
      </c>
      <c r="F47" s="19">
        <v>2079080000</v>
      </c>
      <c r="G47" s="2" t="s">
        <v>159</v>
      </c>
    </row>
    <row r="48" spans="2:7" x14ac:dyDescent="0.2">
      <c r="B48" s="17" t="s">
        <v>86</v>
      </c>
      <c r="C48" s="17">
        <v>1007</v>
      </c>
      <c r="D48" s="17" t="s">
        <v>38</v>
      </c>
      <c r="E48" s="18">
        <v>0</v>
      </c>
      <c r="F48" s="19">
        <v>2079080000</v>
      </c>
      <c r="G48" s="2" t="s">
        <v>160</v>
      </c>
    </row>
    <row r="49" spans="2:7" x14ac:dyDescent="0.2">
      <c r="B49" s="17" t="s">
        <v>86</v>
      </c>
      <c r="C49" s="17">
        <v>1008</v>
      </c>
      <c r="D49" s="17" t="s">
        <v>40</v>
      </c>
      <c r="E49" s="18">
        <v>0</v>
      </c>
      <c r="F49" s="19">
        <v>2079080000</v>
      </c>
      <c r="G49" s="2" t="s">
        <v>161</v>
      </c>
    </row>
    <row r="50" spans="2:7" x14ac:dyDescent="0.2">
      <c r="B50" s="17" t="s">
        <v>87</v>
      </c>
      <c r="C50" s="17">
        <v>1009</v>
      </c>
      <c r="D50" s="17" t="s">
        <v>36</v>
      </c>
      <c r="E50" s="18">
        <v>0</v>
      </c>
      <c r="F50" s="19">
        <v>2082280000</v>
      </c>
      <c r="G50" s="2" t="s">
        <v>162</v>
      </c>
    </row>
    <row r="51" spans="2:7" x14ac:dyDescent="0.2">
      <c r="B51" s="17" t="s">
        <v>87</v>
      </c>
      <c r="C51" s="17">
        <v>1007</v>
      </c>
      <c r="D51" s="17" t="s">
        <v>38</v>
      </c>
      <c r="E51" s="18">
        <v>0</v>
      </c>
      <c r="F51" s="19">
        <v>2082280000</v>
      </c>
      <c r="G51" s="2" t="s">
        <v>163</v>
      </c>
    </row>
    <row r="52" spans="2:7" x14ac:dyDescent="0.2">
      <c r="B52" s="17" t="s">
        <v>87</v>
      </c>
      <c r="C52" s="17">
        <v>1008</v>
      </c>
      <c r="D52" s="17" t="s">
        <v>40</v>
      </c>
      <c r="E52" s="18">
        <v>0</v>
      </c>
      <c r="F52" s="19">
        <v>2082280000</v>
      </c>
      <c r="G52" s="2" t="s">
        <v>164</v>
      </c>
    </row>
    <row r="53" spans="2:7" x14ac:dyDescent="0.2">
      <c r="B53" s="17" t="s">
        <v>87</v>
      </c>
      <c r="C53" s="17">
        <v>1240</v>
      </c>
      <c r="D53" s="17" t="s">
        <v>45</v>
      </c>
      <c r="E53" s="18">
        <v>-35810.228000000003</v>
      </c>
      <c r="F53" s="19">
        <v>2082280000</v>
      </c>
      <c r="G53" s="2" t="s">
        <v>165</v>
      </c>
    </row>
    <row r="54" spans="2:7" x14ac:dyDescent="0.2">
      <c r="B54" s="17" t="s">
        <v>87</v>
      </c>
      <c r="C54" s="17">
        <v>111111</v>
      </c>
      <c r="D54" s="17" t="s">
        <v>100</v>
      </c>
      <c r="E54" s="18">
        <v>-51927.417999999998</v>
      </c>
      <c r="F54" s="19">
        <v>2082280000</v>
      </c>
      <c r="G54" s="2" t="s">
        <v>166</v>
      </c>
    </row>
    <row r="55" spans="2:7" x14ac:dyDescent="0.2">
      <c r="B55" s="17" t="s">
        <v>10</v>
      </c>
      <c r="C55" s="17">
        <v>111101</v>
      </c>
      <c r="D55" s="17" t="s">
        <v>1</v>
      </c>
      <c r="E55" s="18">
        <v>-862270.63399999996</v>
      </c>
      <c r="F55" s="19">
        <v>2082202000</v>
      </c>
      <c r="G55" s="2" t="s">
        <v>167</v>
      </c>
    </row>
    <row r="56" spans="2:7" x14ac:dyDescent="0.2">
      <c r="B56" s="17" t="s">
        <v>88</v>
      </c>
      <c r="C56" s="17">
        <v>111101</v>
      </c>
      <c r="D56" s="17" t="s">
        <v>1</v>
      </c>
      <c r="E56" s="18">
        <v>22763</v>
      </c>
      <c r="F56" s="19">
        <v>2082208200</v>
      </c>
      <c r="G56" s="2" t="s">
        <v>168</v>
      </c>
    </row>
    <row r="57" spans="2:7" x14ac:dyDescent="0.2">
      <c r="B57" s="17" t="s">
        <v>89</v>
      </c>
      <c r="C57" s="17">
        <v>88</v>
      </c>
      <c r="D57" s="17" t="s">
        <v>33</v>
      </c>
      <c r="E57" s="18">
        <v>2930430.0120000001</v>
      </c>
      <c r="F57" s="19">
        <v>2082214000</v>
      </c>
      <c r="G57" s="2" t="s">
        <v>169</v>
      </c>
    </row>
    <row r="58" spans="2:7" x14ac:dyDescent="0.2">
      <c r="B58" s="17" t="s">
        <v>90</v>
      </c>
      <c r="C58" s="17">
        <v>111101</v>
      </c>
      <c r="D58" s="17" t="s">
        <v>1</v>
      </c>
      <c r="E58" s="18">
        <v>-49378.641999999993</v>
      </c>
      <c r="F58" s="19">
        <v>2091200000</v>
      </c>
      <c r="G58" s="2" t="s">
        <v>170</v>
      </c>
    </row>
    <row r="59" spans="2:7" x14ac:dyDescent="0.2">
      <c r="B59" s="17" t="s">
        <v>91</v>
      </c>
      <c r="C59" s="17">
        <v>111101</v>
      </c>
      <c r="D59" s="17" t="s">
        <v>1</v>
      </c>
      <c r="E59" s="18">
        <v>516250.67</v>
      </c>
      <c r="F59" s="19">
        <v>2091200001</v>
      </c>
      <c r="G59" s="2" t="s">
        <v>171</v>
      </c>
    </row>
    <row r="60" spans="2:7" x14ac:dyDescent="0.2">
      <c r="B60" s="17" t="s">
        <v>92</v>
      </c>
      <c r="C60" s="17">
        <v>111101</v>
      </c>
      <c r="D60" s="17" t="s">
        <v>1</v>
      </c>
      <c r="E60" s="18">
        <v>21593.093999999997</v>
      </c>
      <c r="F60" s="19">
        <v>2092200000</v>
      </c>
      <c r="G60" s="2" t="s">
        <v>172</v>
      </c>
    </row>
    <row r="61" spans="2:7" x14ac:dyDescent="0.2">
      <c r="B61" s="20" t="s">
        <v>65</v>
      </c>
      <c r="C61" s="20">
        <v>111101</v>
      </c>
      <c r="D61" s="20" t="s">
        <v>1</v>
      </c>
      <c r="E61" s="21">
        <v>-2904117.9939999986</v>
      </c>
      <c r="F61" s="22">
        <v>2999999999</v>
      </c>
      <c r="G61" s="2" t="s">
        <v>173</v>
      </c>
    </row>
    <row r="62" spans="2:7" x14ac:dyDescent="0.2">
      <c r="C62" s="6"/>
      <c r="F62" s="5"/>
    </row>
    <row r="63" spans="2:7" x14ac:dyDescent="0.2">
      <c r="C63" s="6"/>
      <c r="F63" s="5"/>
    </row>
    <row r="64" spans="2:7" x14ac:dyDescent="0.2">
      <c r="C64" s="6"/>
      <c r="F64" s="5"/>
    </row>
    <row r="65" spans="3:6" x14ac:dyDescent="0.2">
      <c r="C65" s="6"/>
      <c r="F65" s="5"/>
    </row>
    <row r="66" spans="3:6" x14ac:dyDescent="0.2">
      <c r="C66" s="6"/>
      <c r="F66" s="5"/>
    </row>
    <row r="67" spans="3:6" x14ac:dyDescent="0.2">
      <c r="C67" s="6"/>
      <c r="F67" s="5"/>
    </row>
    <row r="68" spans="3:6" x14ac:dyDescent="0.2">
      <c r="C68" s="6"/>
      <c r="F68" s="5"/>
    </row>
    <row r="69" spans="3:6" x14ac:dyDescent="0.2">
      <c r="C69" s="6"/>
      <c r="F69" s="5"/>
    </row>
    <row r="70" spans="3:6" x14ac:dyDescent="0.2">
      <c r="C70" s="6"/>
      <c r="F70" s="5"/>
    </row>
    <row r="71" spans="3:6" x14ac:dyDescent="0.2">
      <c r="C71" s="6"/>
      <c r="F71" s="5"/>
    </row>
    <row r="72" spans="3:6" x14ac:dyDescent="0.2">
      <c r="C72" s="6"/>
      <c r="F72" s="5"/>
    </row>
    <row r="73" spans="3:6" x14ac:dyDescent="0.2">
      <c r="C73" s="6"/>
      <c r="F73" s="5"/>
    </row>
    <row r="74" spans="3:6" x14ac:dyDescent="0.2">
      <c r="C74" s="6"/>
      <c r="F74" s="5"/>
    </row>
    <row r="75" spans="3:6" x14ac:dyDescent="0.2">
      <c r="C75" s="6"/>
      <c r="F75" s="5"/>
    </row>
    <row r="76" spans="3:6" x14ac:dyDescent="0.2">
      <c r="C76" s="6"/>
      <c r="F76" s="5"/>
    </row>
    <row r="77" spans="3:6" x14ac:dyDescent="0.2">
      <c r="C77" s="6"/>
      <c r="F77" s="5"/>
    </row>
    <row r="78" spans="3:6" x14ac:dyDescent="0.2">
      <c r="C78" s="6"/>
      <c r="F78" s="5"/>
    </row>
    <row r="79" spans="3:6" x14ac:dyDescent="0.2">
      <c r="C79" s="6"/>
      <c r="F79" s="5"/>
    </row>
    <row r="80" spans="3:6" x14ac:dyDescent="0.2">
      <c r="C80" s="6"/>
      <c r="F80" s="5"/>
    </row>
    <row r="81" spans="3:6" x14ac:dyDescent="0.2">
      <c r="C81" s="6"/>
      <c r="F81" s="5"/>
    </row>
    <row r="82" spans="3:6" x14ac:dyDescent="0.2">
      <c r="C82" s="6"/>
      <c r="F82" s="5"/>
    </row>
    <row r="83" spans="3:6" x14ac:dyDescent="0.2">
      <c r="C83" s="6"/>
      <c r="F83" s="5"/>
    </row>
    <row r="84" spans="3:6" x14ac:dyDescent="0.2">
      <c r="C84" s="6"/>
      <c r="F84" s="5"/>
    </row>
    <row r="85" spans="3:6" x14ac:dyDescent="0.2">
      <c r="C85" s="6"/>
      <c r="F85" s="5"/>
    </row>
    <row r="86" spans="3:6" x14ac:dyDescent="0.2">
      <c r="C86" s="6"/>
      <c r="F86" s="5"/>
    </row>
    <row r="87" spans="3:6" x14ac:dyDescent="0.2">
      <c r="C87" s="6"/>
      <c r="F87" s="5"/>
    </row>
    <row r="88" spans="3:6" x14ac:dyDescent="0.2">
      <c r="C88" s="6"/>
      <c r="F88" s="5"/>
    </row>
    <row r="89" spans="3:6" x14ac:dyDescent="0.2">
      <c r="C89" s="6"/>
      <c r="F89" s="5"/>
    </row>
    <row r="90" spans="3:6" x14ac:dyDescent="0.2">
      <c r="C90" s="6"/>
      <c r="F90" s="5"/>
    </row>
    <row r="91" spans="3:6" x14ac:dyDescent="0.2">
      <c r="C91" s="6"/>
      <c r="F91" s="5"/>
    </row>
    <row r="92" spans="3:6" x14ac:dyDescent="0.2">
      <c r="C92" s="6"/>
      <c r="F92" s="5"/>
    </row>
    <row r="93" spans="3:6" x14ac:dyDescent="0.2">
      <c r="C93" s="6"/>
      <c r="F93" s="5"/>
    </row>
    <row r="94" spans="3:6" x14ac:dyDescent="0.2">
      <c r="C94" s="6"/>
      <c r="F94" s="5"/>
    </row>
    <row r="95" spans="3:6" x14ac:dyDescent="0.2">
      <c r="C95" s="6"/>
      <c r="F95" s="5"/>
    </row>
    <row r="96" spans="3:6" x14ac:dyDescent="0.2">
      <c r="C96" s="6"/>
      <c r="F96" s="5"/>
    </row>
  </sheetData>
  <autoFilter ref="B4:F61" xr:uid="{39DE3111-E784-48B0-ACC9-434066C527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9"/>
  <sheetViews>
    <sheetView workbookViewId="0">
      <selection activeCell="B3" sqref="B3:J22"/>
    </sheetView>
  </sheetViews>
  <sheetFormatPr defaultColWidth="9.109375" defaultRowHeight="11.4" x14ac:dyDescent="0.2"/>
  <cols>
    <col min="1" max="1" width="2" style="2" customWidth="1"/>
    <col min="2" max="2" width="27.21875" style="2" customWidth="1"/>
    <col min="3" max="3" width="22" style="2" customWidth="1"/>
    <col min="4" max="4" width="22.44140625" style="2" customWidth="1"/>
    <col min="5" max="5" width="11.5546875" style="2" bestFit="1" customWidth="1"/>
    <col min="6" max="6" width="14.6640625" style="2" customWidth="1"/>
    <col min="7" max="7" width="12.88671875" style="2" customWidth="1"/>
    <col min="8" max="16384" width="9.109375" style="2"/>
  </cols>
  <sheetData>
    <row r="1" spans="2:7" ht="15.6" x14ac:dyDescent="0.3">
      <c r="B1" s="3" t="s">
        <v>110</v>
      </c>
    </row>
    <row r="4" spans="2:7" x14ac:dyDescent="0.2">
      <c r="B4" s="17" t="s">
        <v>112</v>
      </c>
      <c r="C4" s="17" t="s">
        <v>0</v>
      </c>
      <c r="D4" s="17" t="s">
        <v>113</v>
      </c>
      <c r="E4" s="17" t="s">
        <v>114</v>
      </c>
      <c r="F4" s="17" t="s">
        <v>115</v>
      </c>
      <c r="G4" s="2" t="s">
        <v>116</v>
      </c>
    </row>
    <row r="5" spans="2:7" x14ac:dyDescent="0.2">
      <c r="B5" s="17" t="s">
        <v>66</v>
      </c>
      <c r="C5" s="17">
        <v>105</v>
      </c>
      <c r="D5" s="17" t="s">
        <v>34</v>
      </c>
      <c r="E5" s="18">
        <v>-355396.61499999999</v>
      </c>
      <c r="F5" s="17">
        <v>2001110000</v>
      </c>
      <c r="G5" s="2" t="s">
        <v>174</v>
      </c>
    </row>
    <row r="6" spans="2:7" x14ac:dyDescent="0.2">
      <c r="B6" s="17" t="s">
        <v>66</v>
      </c>
      <c r="C6" s="17">
        <v>111111</v>
      </c>
      <c r="D6" s="17" t="s">
        <v>100</v>
      </c>
      <c r="E6" s="18">
        <v>-15792898.75</v>
      </c>
      <c r="F6" s="17">
        <v>2001110000</v>
      </c>
      <c r="G6" s="2" t="s">
        <v>117</v>
      </c>
    </row>
    <row r="7" spans="2:7" x14ac:dyDescent="0.2">
      <c r="B7" s="17" t="s">
        <v>67</v>
      </c>
      <c r="C7" s="17">
        <v>111111</v>
      </c>
      <c r="D7" s="17" t="s">
        <v>100</v>
      </c>
      <c r="E7" s="18">
        <v>-6960217.6449999996</v>
      </c>
      <c r="F7" s="17">
        <v>2001190000</v>
      </c>
      <c r="G7" s="2" t="s">
        <v>118</v>
      </c>
    </row>
    <row r="8" spans="2:7" x14ac:dyDescent="0.2">
      <c r="B8" s="17" t="s">
        <v>68</v>
      </c>
      <c r="C8" s="17" t="s">
        <v>11</v>
      </c>
      <c r="D8" s="17" t="s">
        <v>48</v>
      </c>
      <c r="E8" s="18">
        <v>-420017.14999999997</v>
      </c>
      <c r="F8" s="17">
        <v>2020000000</v>
      </c>
      <c r="G8" s="2" t="s">
        <v>175</v>
      </c>
    </row>
    <row r="9" spans="2:7" x14ac:dyDescent="0.2">
      <c r="B9" s="17" t="s">
        <v>68</v>
      </c>
      <c r="C9" s="17">
        <v>1007</v>
      </c>
      <c r="D9" s="17" t="s">
        <v>38</v>
      </c>
      <c r="E9" s="18">
        <v>-89234.880000000005</v>
      </c>
      <c r="F9" s="17">
        <v>2020000000</v>
      </c>
      <c r="G9" s="2" t="s">
        <v>120</v>
      </c>
    </row>
    <row r="10" spans="2:7" x14ac:dyDescent="0.2">
      <c r="B10" s="17" t="s">
        <v>68</v>
      </c>
      <c r="C10" s="17">
        <v>1008</v>
      </c>
      <c r="D10" s="17" t="s">
        <v>40</v>
      </c>
      <c r="E10" s="18">
        <v>-26173</v>
      </c>
      <c r="F10" s="17">
        <v>2020000000</v>
      </c>
      <c r="G10" s="2" t="s">
        <v>121</v>
      </c>
    </row>
    <row r="11" spans="2:7" x14ac:dyDescent="0.2">
      <c r="B11" s="17" t="s">
        <v>68</v>
      </c>
      <c r="C11" s="17">
        <v>111101</v>
      </c>
      <c r="D11" s="17" t="s">
        <v>1</v>
      </c>
      <c r="E11" s="18">
        <v>-209401.92</v>
      </c>
      <c r="F11" s="17">
        <v>2020000000</v>
      </c>
      <c r="G11" s="2" t="s">
        <v>122</v>
      </c>
    </row>
    <row r="12" spans="2:7" x14ac:dyDescent="0.2">
      <c r="B12" s="17" t="s">
        <v>102</v>
      </c>
      <c r="C12" s="17">
        <v>111111</v>
      </c>
      <c r="D12" s="17" t="s">
        <v>100</v>
      </c>
      <c r="E12" s="18">
        <v>14589.33</v>
      </c>
      <c r="F12" s="17">
        <v>2021210000</v>
      </c>
      <c r="G12" s="2" t="s">
        <v>176</v>
      </c>
    </row>
    <row r="13" spans="2:7" x14ac:dyDescent="0.2">
      <c r="B13" s="17" t="s">
        <v>101</v>
      </c>
      <c r="C13" s="17">
        <v>111111</v>
      </c>
      <c r="D13" s="17" t="s">
        <v>100</v>
      </c>
      <c r="E13" s="18">
        <v>5463188.8250000002</v>
      </c>
      <c r="F13" s="17">
        <v>2021900000</v>
      </c>
      <c r="G13" s="2" t="s">
        <v>123</v>
      </c>
    </row>
    <row r="14" spans="2:7" x14ac:dyDescent="0.2">
      <c r="B14" s="17" t="s">
        <v>70</v>
      </c>
      <c r="C14" s="17">
        <v>111111</v>
      </c>
      <c r="D14" s="17" t="s">
        <v>100</v>
      </c>
      <c r="E14" s="18">
        <v>343675</v>
      </c>
      <c r="F14" s="17">
        <v>2024080000</v>
      </c>
      <c r="G14" s="2" t="s">
        <v>124</v>
      </c>
    </row>
    <row r="15" spans="2:7" x14ac:dyDescent="0.2">
      <c r="B15" s="17" t="s">
        <v>69</v>
      </c>
      <c r="C15" s="17">
        <v>19</v>
      </c>
      <c r="D15" s="17" t="s">
        <v>42</v>
      </c>
      <c r="E15" s="18">
        <v>38521</v>
      </c>
      <c r="F15" s="17">
        <v>2024090000</v>
      </c>
      <c r="G15" s="2" t="s">
        <v>177</v>
      </c>
    </row>
    <row r="16" spans="2:7" x14ac:dyDescent="0.2">
      <c r="B16" s="17" t="s">
        <v>69</v>
      </c>
      <c r="C16" s="17">
        <v>88</v>
      </c>
      <c r="D16" s="17" t="s">
        <v>33</v>
      </c>
      <c r="E16" s="18">
        <v>1980162.23</v>
      </c>
      <c r="F16" s="17">
        <v>2024090000</v>
      </c>
      <c r="G16" s="2" t="s">
        <v>125</v>
      </c>
    </row>
    <row r="17" spans="2:7" x14ac:dyDescent="0.2">
      <c r="B17" s="17" t="s">
        <v>69</v>
      </c>
      <c r="C17" s="17" t="s">
        <v>12</v>
      </c>
      <c r="D17" s="17" t="s">
        <v>35</v>
      </c>
      <c r="E17" s="18">
        <v>1820</v>
      </c>
      <c r="F17" s="17">
        <v>2024090000</v>
      </c>
      <c r="G17" s="2" t="s">
        <v>178</v>
      </c>
    </row>
    <row r="18" spans="2:7" x14ac:dyDescent="0.2">
      <c r="B18" s="17" t="s">
        <v>69</v>
      </c>
      <c r="C18" s="17" t="s">
        <v>13</v>
      </c>
      <c r="D18" s="17" t="s">
        <v>37</v>
      </c>
      <c r="E18" s="18">
        <v>10448.129999999999</v>
      </c>
      <c r="F18" s="17">
        <v>2024090000</v>
      </c>
      <c r="G18" s="2" t="s">
        <v>179</v>
      </c>
    </row>
    <row r="19" spans="2:7" x14ac:dyDescent="0.2">
      <c r="B19" s="17" t="s">
        <v>69</v>
      </c>
      <c r="C19" s="17" t="s">
        <v>14</v>
      </c>
      <c r="D19" s="17" t="s">
        <v>50</v>
      </c>
      <c r="E19" s="18">
        <v>10412.5</v>
      </c>
      <c r="F19" s="17">
        <v>2024090000</v>
      </c>
      <c r="G19" s="2" t="s">
        <v>180</v>
      </c>
    </row>
    <row r="20" spans="2:7" x14ac:dyDescent="0.2">
      <c r="B20" s="17" t="s">
        <v>69</v>
      </c>
      <c r="C20" s="17">
        <v>111111</v>
      </c>
      <c r="D20" s="17" t="s">
        <v>100</v>
      </c>
      <c r="E20" s="18">
        <v>27148.625</v>
      </c>
      <c r="F20" s="17">
        <v>2024090000</v>
      </c>
      <c r="G20" s="2" t="s">
        <v>126</v>
      </c>
    </row>
    <row r="21" spans="2:7" x14ac:dyDescent="0.2">
      <c r="B21" s="17" t="s">
        <v>2</v>
      </c>
      <c r="C21" s="17">
        <v>111111</v>
      </c>
      <c r="D21" s="17" t="s">
        <v>100</v>
      </c>
      <c r="E21" s="18">
        <v>5507141.0549999997</v>
      </c>
      <c r="F21" s="17">
        <v>2041000000</v>
      </c>
      <c r="G21" s="2" t="s">
        <v>127</v>
      </c>
    </row>
    <row r="22" spans="2:7" x14ac:dyDescent="0.2">
      <c r="B22" s="17" t="s">
        <v>3</v>
      </c>
      <c r="C22" s="17">
        <v>111101</v>
      </c>
      <c r="D22" s="17" t="s">
        <v>1</v>
      </c>
      <c r="E22" s="18">
        <v>1752994.18</v>
      </c>
      <c r="F22" s="17">
        <v>2042000000</v>
      </c>
      <c r="G22" s="2" t="s">
        <v>128</v>
      </c>
    </row>
    <row r="23" spans="2:7" x14ac:dyDescent="0.2">
      <c r="B23" s="17" t="s">
        <v>71</v>
      </c>
      <c r="C23" s="17">
        <v>111101</v>
      </c>
      <c r="D23" s="17" t="s">
        <v>1</v>
      </c>
      <c r="E23" s="18">
        <v>304303.86000000004</v>
      </c>
      <c r="F23" s="17">
        <v>2042000000</v>
      </c>
      <c r="G23" s="2" t="s">
        <v>128</v>
      </c>
    </row>
    <row r="24" spans="2:7" x14ac:dyDescent="0.2">
      <c r="B24" s="17" t="s">
        <v>72</v>
      </c>
      <c r="C24" s="17">
        <v>111101</v>
      </c>
      <c r="D24" s="17" t="s">
        <v>1</v>
      </c>
      <c r="E24" s="18">
        <v>500500</v>
      </c>
      <c r="F24" s="17">
        <v>2045000000</v>
      </c>
      <c r="G24" s="2" t="s">
        <v>130</v>
      </c>
    </row>
    <row r="25" spans="2:7" x14ac:dyDescent="0.2">
      <c r="B25" s="17" t="s">
        <v>15</v>
      </c>
      <c r="C25" s="17">
        <v>111101</v>
      </c>
      <c r="D25" s="17" t="s">
        <v>1</v>
      </c>
      <c r="E25" s="18">
        <v>6919.8499999999995</v>
      </c>
      <c r="F25" s="17">
        <v>2049000000</v>
      </c>
      <c r="G25" s="2" t="s">
        <v>181</v>
      </c>
    </row>
    <row r="26" spans="2:7" x14ac:dyDescent="0.2">
      <c r="B26" s="17" t="s">
        <v>73</v>
      </c>
      <c r="C26" s="17">
        <v>111101</v>
      </c>
      <c r="D26" s="17" t="s">
        <v>1</v>
      </c>
      <c r="E26" s="18">
        <v>1897676.87</v>
      </c>
      <c r="F26" s="17">
        <v>2051210000</v>
      </c>
      <c r="G26" s="2" t="s">
        <v>131</v>
      </c>
    </row>
    <row r="27" spans="2:7" x14ac:dyDescent="0.2">
      <c r="B27" s="17" t="s">
        <v>73</v>
      </c>
      <c r="C27" s="17">
        <v>111101</v>
      </c>
      <c r="D27" s="17" t="s">
        <v>1</v>
      </c>
      <c r="E27" s="18">
        <v>146328.94499999998</v>
      </c>
      <c r="F27" s="17">
        <v>2051260000</v>
      </c>
      <c r="G27" s="2" t="s">
        <v>182</v>
      </c>
    </row>
    <row r="28" spans="2:7" x14ac:dyDescent="0.2">
      <c r="B28" s="17" t="s">
        <v>16</v>
      </c>
      <c r="C28" s="17">
        <v>111111</v>
      </c>
      <c r="D28" s="17" t="s">
        <v>100</v>
      </c>
      <c r="E28" s="18">
        <v>-121553.07499999998</v>
      </c>
      <c r="F28" s="17">
        <v>2060220000</v>
      </c>
      <c r="G28" s="2" t="s">
        <v>183</v>
      </c>
    </row>
    <row r="29" spans="2:7" x14ac:dyDescent="0.2">
      <c r="B29" s="17" t="s">
        <v>74</v>
      </c>
      <c r="C29" s="17" t="s">
        <v>4</v>
      </c>
      <c r="D29" s="17" t="s">
        <v>41</v>
      </c>
      <c r="E29" s="18">
        <v>-1643711.145</v>
      </c>
      <c r="F29" s="17">
        <v>2069010000</v>
      </c>
      <c r="G29" s="2" t="s">
        <v>133</v>
      </c>
    </row>
    <row r="30" spans="2:7" x14ac:dyDescent="0.2">
      <c r="B30" s="17" t="s">
        <v>74</v>
      </c>
      <c r="C30" s="17">
        <v>19</v>
      </c>
      <c r="D30" s="17" t="s">
        <v>42</v>
      </c>
      <c r="E30" s="18">
        <v>-416278.66</v>
      </c>
      <c r="F30" s="17">
        <v>2069010000</v>
      </c>
      <c r="G30" s="2" t="s">
        <v>184</v>
      </c>
    </row>
    <row r="31" spans="2:7" x14ac:dyDescent="0.2">
      <c r="B31" s="17" t="s">
        <v>74</v>
      </c>
      <c r="C31" s="17" t="s">
        <v>17</v>
      </c>
      <c r="D31" s="17" t="s">
        <v>52</v>
      </c>
      <c r="E31" s="18">
        <v>-364243.84499999997</v>
      </c>
      <c r="F31" s="17">
        <v>2069010000</v>
      </c>
      <c r="G31" s="2" t="s">
        <v>185</v>
      </c>
    </row>
    <row r="32" spans="2:7" x14ac:dyDescent="0.2">
      <c r="B32" s="17" t="s">
        <v>74</v>
      </c>
      <c r="C32" s="17" t="s">
        <v>11</v>
      </c>
      <c r="D32" s="17" t="s">
        <v>48</v>
      </c>
      <c r="E32" s="18">
        <v>0</v>
      </c>
      <c r="F32" s="17">
        <v>2069010000</v>
      </c>
      <c r="G32" s="2" t="s">
        <v>186</v>
      </c>
    </row>
    <row r="33" spans="2:7" x14ac:dyDescent="0.2">
      <c r="B33" s="17" t="s">
        <v>74</v>
      </c>
      <c r="C33" s="17">
        <v>1009</v>
      </c>
      <c r="D33" s="17" t="s">
        <v>36</v>
      </c>
      <c r="E33" s="18">
        <v>0</v>
      </c>
      <c r="F33" s="17">
        <v>2069010000</v>
      </c>
      <c r="G33" s="2" t="s">
        <v>137</v>
      </c>
    </row>
    <row r="34" spans="2:7" x14ac:dyDescent="0.2">
      <c r="B34" s="17" t="s">
        <v>74</v>
      </c>
      <c r="C34" s="17">
        <v>1007</v>
      </c>
      <c r="D34" s="17" t="s">
        <v>38</v>
      </c>
      <c r="E34" s="18">
        <v>0</v>
      </c>
      <c r="F34" s="17">
        <v>2069010000</v>
      </c>
      <c r="G34" s="2" t="s">
        <v>138</v>
      </c>
    </row>
    <row r="35" spans="2:7" x14ac:dyDescent="0.2">
      <c r="B35" s="17" t="s">
        <v>74</v>
      </c>
      <c r="C35" s="17">
        <v>1008</v>
      </c>
      <c r="D35" s="17" t="s">
        <v>40</v>
      </c>
      <c r="E35" s="18">
        <v>0</v>
      </c>
      <c r="F35" s="17">
        <v>2069010000</v>
      </c>
      <c r="G35" s="2" t="s">
        <v>139</v>
      </c>
    </row>
    <row r="36" spans="2:7" x14ac:dyDescent="0.2">
      <c r="B36" s="17" t="s">
        <v>74</v>
      </c>
      <c r="C36" s="17">
        <v>1240</v>
      </c>
      <c r="D36" s="17" t="s">
        <v>45</v>
      </c>
      <c r="E36" s="18">
        <v>-10461.36</v>
      </c>
      <c r="F36" s="17">
        <v>2069010000</v>
      </c>
      <c r="G36" s="2" t="s">
        <v>140</v>
      </c>
    </row>
    <row r="37" spans="2:7" x14ac:dyDescent="0.2">
      <c r="B37" s="17" t="s">
        <v>74</v>
      </c>
      <c r="C37" s="17">
        <v>1007</v>
      </c>
      <c r="D37" s="17" t="s">
        <v>39</v>
      </c>
      <c r="E37" s="18">
        <v>0</v>
      </c>
      <c r="F37" s="17">
        <v>2069010000</v>
      </c>
      <c r="G37" s="2" t="s">
        <v>138</v>
      </c>
    </row>
    <row r="38" spans="2:7" x14ac:dyDescent="0.2">
      <c r="B38" s="17" t="s">
        <v>74</v>
      </c>
      <c r="C38" s="17" t="s">
        <v>18</v>
      </c>
      <c r="D38" s="17" t="s">
        <v>53</v>
      </c>
      <c r="E38" s="18">
        <v>-482611.04499999998</v>
      </c>
      <c r="F38" s="17">
        <v>2069010000</v>
      </c>
      <c r="G38" s="2" t="s">
        <v>187</v>
      </c>
    </row>
    <row r="39" spans="2:7" x14ac:dyDescent="0.2">
      <c r="B39" s="17" t="s">
        <v>74</v>
      </c>
      <c r="C39" s="17">
        <v>111111</v>
      </c>
      <c r="D39" s="17" t="s">
        <v>100</v>
      </c>
      <c r="E39" s="18">
        <v>-6785.94</v>
      </c>
      <c r="F39" s="17">
        <v>2069010000</v>
      </c>
      <c r="G39" s="2" t="s">
        <v>141</v>
      </c>
    </row>
    <row r="40" spans="2:7" x14ac:dyDescent="0.2">
      <c r="B40" s="17" t="s">
        <v>75</v>
      </c>
      <c r="C40" s="17">
        <v>88</v>
      </c>
      <c r="D40" s="17" t="s">
        <v>33</v>
      </c>
      <c r="E40" s="18">
        <v>-2436.35</v>
      </c>
      <c r="F40" s="17">
        <v>2069980000</v>
      </c>
      <c r="G40" s="2" t="s">
        <v>188</v>
      </c>
    </row>
    <row r="41" spans="2:7" x14ac:dyDescent="0.2">
      <c r="B41" s="17" t="s">
        <v>75</v>
      </c>
      <c r="C41" s="17">
        <v>111111</v>
      </c>
      <c r="D41" s="17" t="s">
        <v>100</v>
      </c>
      <c r="E41" s="18">
        <v>9793.84</v>
      </c>
      <c r="F41" s="17">
        <v>2069980000</v>
      </c>
      <c r="G41" s="2" t="s">
        <v>142</v>
      </c>
    </row>
    <row r="42" spans="2:7" x14ac:dyDescent="0.2">
      <c r="B42" s="17" t="s">
        <v>19</v>
      </c>
      <c r="C42" s="17">
        <v>111101</v>
      </c>
      <c r="D42" s="17" t="s">
        <v>1</v>
      </c>
      <c r="E42" s="18">
        <v>81.339999999999989</v>
      </c>
      <c r="F42" s="17">
        <v>2070290000</v>
      </c>
      <c r="G42" s="2" t="s">
        <v>189</v>
      </c>
    </row>
    <row r="43" spans="2:7" x14ac:dyDescent="0.2">
      <c r="B43" s="17" t="s">
        <v>76</v>
      </c>
      <c r="C43" s="17">
        <v>111111</v>
      </c>
      <c r="D43" s="17" t="s">
        <v>100</v>
      </c>
      <c r="E43" s="18">
        <v>65947.7</v>
      </c>
      <c r="F43" s="17">
        <v>2070400000</v>
      </c>
      <c r="G43" s="2" t="s">
        <v>143</v>
      </c>
    </row>
    <row r="44" spans="2:7" x14ac:dyDescent="0.2">
      <c r="B44" s="17" t="s">
        <v>77</v>
      </c>
      <c r="C44" s="17">
        <v>111111</v>
      </c>
      <c r="D44" s="17" t="s">
        <v>100</v>
      </c>
      <c r="E44" s="18">
        <v>5138.91</v>
      </c>
      <c r="F44" s="17">
        <v>2070500000</v>
      </c>
      <c r="G44" s="2" t="s">
        <v>145</v>
      </c>
    </row>
    <row r="45" spans="2:7" x14ac:dyDescent="0.2">
      <c r="B45" s="17" t="s">
        <v>78</v>
      </c>
      <c r="C45" s="17">
        <v>111111</v>
      </c>
      <c r="D45" s="17" t="s">
        <v>100</v>
      </c>
      <c r="E45" s="18">
        <v>1055381.4750000001</v>
      </c>
      <c r="F45" s="17">
        <v>2070600000</v>
      </c>
      <c r="G45" s="2" t="s">
        <v>146</v>
      </c>
    </row>
    <row r="46" spans="2:7" x14ac:dyDescent="0.2">
      <c r="B46" s="17" t="s">
        <v>79</v>
      </c>
      <c r="C46" s="17" t="s">
        <v>7</v>
      </c>
      <c r="D46" s="17" t="s">
        <v>44</v>
      </c>
      <c r="E46" s="18">
        <v>430845.34499999997</v>
      </c>
      <c r="F46" s="17">
        <v>2070900000</v>
      </c>
      <c r="G46" s="2" t="s">
        <v>148</v>
      </c>
    </row>
    <row r="47" spans="2:7" x14ac:dyDescent="0.2">
      <c r="B47" s="17" t="s">
        <v>79</v>
      </c>
      <c r="C47" s="17">
        <v>105</v>
      </c>
      <c r="D47" s="17" t="s">
        <v>34</v>
      </c>
      <c r="E47" s="18">
        <v>276920</v>
      </c>
      <c r="F47" s="17">
        <v>2070900000</v>
      </c>
      <c r="G47" s="2" t="s">
        <v>190</v>
      </c>
    </row>
    <row r="48" spans="2:7" x14ac:dyDescent="0.2">
      <c r="B48" s="17" t="s">
        <v>79</v>
      </c>
      <c r="C48" s="17">
        <v>111111</v>
      </c>
      <c r="D48" s="17" t="s">
        <v>100</v>
      </c>
      <c r="E48" s="18">
        <v>1130021</v>
      </c>
      <c r="F48" s="17">
        <v>2070900000</v>
      </c>
      <c r="G48" s="2" t="s">
        <v>149</v>
      </c>
    </row>
    <row r="49" spans="2:7" x14ac:dyDescent="0.2">
      <c r="B49" s="17" t="s">
        <v>8</v>
      </c>
      <c r="C49" s="17">
        <v>111111</v>
      </c>
      <c r="D49" s="17" t="s">
        <v>100</v>
      </c>
      <c r="E49" s="18">
        <v>7293.5450000000001</v>
      </c>
      <c r="F49" s="17">
        <v>2071000000</v>
      </c>
      <c r="G49" s="2" t="s">
        <v>150</v>
      </c>
    </row>
    <row r="50" spans="2:7" x14ac:dyDescent="0.2">
      <c r="B50" s="17" t="s">
        <v>80</v>
      </c>
      <c r="C50" s="17">
        <v>1900</v>
      </c>
      <c r="D50" s="17" t="s">
        <v>54</v>
      </c>
      <c r="E50" s="18">
        <v>0</v>
      </c>
      <c r="F50" s="17">
        <v>2071100000</v>
      </c>
      <c r="G50" s="2" t="s">
        <v>191</v>
      </c>
    </row>
    <row r="51" spans="2:7" x14ac:dyDescent="0.2">
      <c r="B51" s="17" t="s">
        <v>80</v>
      </c>
      <c r="C51" s="17">
        <v>111111</v>
      </c>
      <c r="D51" s="17" t="s">
        <v>100</v>
      </c>
      <c r="E51" s="18">
        <v>48468.665000000001</v>
      </c>
      <c r="F51" s="17">
        <v>2071100000</v>
      </c>
      <c r="G51" s="2" t="s">
        <v>151</v>
      </c>
    </row>
    <row r="52" spans="2:7" x14ac:dyDescent="0.2">
      <c r="B52" s="17" t="s">
        <v>9</v>
      </c>
      <c r="C52" s="17" t="s">
        <v>20</v>
      </c>
      <c r="D52" s="17" t="s">
        <v>56</v>
      </c>
      <c r="E52" s="18">
        <v>23928.799999999999</v>
      </c>
      <c r="F52" s="17">
        <v>2071209200</v>
      </c>
      <c r="G52" s="2" t="s">
        <v>192</v>
      </c>
    </row>
    <row r="53" spans="2:7" x14ac:dyDescent="0.2">
      <c r="B53" s="17" t="s">
        <v>9</v>
      </c>
      <c r="C53" s="17">
        <v>111111</v>
      </c>
      <c r="D53" s="17" t="s">
        <v>100</v>
      </c>
      <c r="E53" s="18">
        <v>2393259.19</v>
      </c>
      <c r="F53" s="17">
        <v>2071209200</v>
      </c>
      <c r="G53" s="2" t="s">
        <v>152</v>
      </c>
    </row>
    <row r="54" spans="2:7" x14ac:dyDescent="0.2">
      <c r="B54" s="17" t="s">
        <v>81</v>
      </c>
      <c r="C54" s="17">
        <v>111111</v>
      </c>
      <c r="D54" s="17" t="s">
        <v>100</v>
      </c>
      <c r="E54" s="18">
        <v>23069.654999999999</v>
      </c>
      <c r="F54" s="17">
        <v>2071209400</v>
      </c>
      <c r="G54" s="2" t="s">
        <v>153</v>
      </c>
    </row>
    <row r="55" spans="2:7" x14ac:dyDescent="0.2">
      <c r="B55" s="17" t="s">
        <v>82</v>
      </c>
      <c r="C55" s="17">
        <v>111111</v>
      </c>
      <c r="D55" s="17" t="s">
        <v>100</v>
      </c>
      <c r="E55" s="18">
        <v>208366.935</v>
      </c>
      <c r="F55" s="17">
        <v>2071209500</v>
      </c>
      <c r="G55" s="2" t="s">
        <v>154</v>
      </c>
    </row>
    <row r="56" spans="2:7" x14ac:dyDescent="0.2">
      <c r="B56" s="17" t="s">
        <v>21</v>
      </c>
      <c r="C56" s="17">
        <v>111111</v>
      </c>
      <c r="D56" s="17" t="s">
        <v>100</v>
      </c>
      <c r="E56" s="18">
        <v>308232</v>
      </c>
      <c r="F56" s="17">
        <v>2071220000</v>
      </c>
      <c r="G56" s="2" t="s">
        <v>193</v>
      </c>
    </row>
    <row r="57" spans="2:7" x14ac:dyDescent="0.2">
      <c r="B57" s="17" t="s">
        <v>22</v>
      </c>
      <c r="C57" s="17">
        <v>19</v>
      </c>
      <c r="D57" s="17" t="s">
        <v>42</v>
      </c>
      <c r="E57" s="18">
        <v>13422.779999999999</v>
      </c>
      <c r="F57" s="17">
        <v>2071511000</v>
      </c>
      <c r="G57" s="2" t="s">
        <v>194</v>
      </c>
    </row>
    <row r="58" spans="2:7" x14ac:dyDescent="0.2">
      <c r="B58" s="17" t="s">
        <v>22</v>
      </c>
      <c r="C58" s="17">
        <v>111111</v>
      </c>
      <c r="D58" s="17" t="s">
        <v>100</v>
      </c>
      <c r="E58" s="18">
        <v>4045.6150000000002</v>
      </c>
      <c r="F58" s="17">
        <v>2071511000</v>
      </c>
      <c r="G58" s="2" t="s">
        <v>195</v>
      </c>
    </row>
    <row r="59" spans="2:7" x14ac:dyDescent="0.2">
      <c r="B59" s="17" t="s">
        <v>23</v>
      </c>
      <c r="C59" s="17">
        <v>111111</v>
      </c>
      <c r="D59" s="17" t="s">
        <v>100</v>
      </c>
      <c r="E59" s="18">
        <v>49621.144999999997</v>
      </c>
      <c r="F59" s="17">
        <v>2071910000</v>
      </c>
      <c r="G59" s="2" t="s">
        <v>196</v>
      </c>
    </row>
    <row r="60" spans="2:7" x14ac:dyDescent="0.2">
      <c r="B60" s="17" t="s">
        <v>83</v>
      </c>
      <c r="C60" s="17">
        <v>111101</v>
      </c>
      <c r="D60" s="17" t="s">
        <v>1</v>
      </c>
      <c r="E60" s="18">
        <v>20323.309999999998</v>
      </c>
      <c r="F60" s="17">
        <v>2071980000</v>
      </c>
      <c r="G60" s="2" t="s">
        <v>155</v>
      </c>
    </row>
    <row r="61" spans="2:7" x14ac:dyDescent="0.2">
      <c r="B61" s="17" t="s">
        <v>84</v>
      </c>
      <c r="C61" s="17">
        <v>111111</v>
      </c>
      <c r="D61" s="17" t="s">
        <v>100</v>
      </c>
      <c r="E61" s="18">
        <v>169489</v>
      </c>
      <c r="F61" s="17">
        <v>2079022000</v>
      </c>
      <c r="G61" s="2" t="s">
        <v>156</v>
      </c>
    </row>
    <row r="62" spans="2:7" x14ac:dyDescent="0.2">
      <c r="B62" s="17" t="s">
        <v>85</v>
      </c>
      <c r="C62" s="17">
        <v>19</v>
      </c>
      <c r="D62" s="17" t="s">
        <v>42</v>
      </c>
      <c r="E62" s="18">
        <v>85462.684999999998</v>
      </c>
      <c r="F62" s="17">
        <v>2079070000</v>
      </c>
      <c r="G62" s="2" t="s">
        <v>197</v>
      </c>
    </row>
    <row r="63" spans="2:7" x14ac:dyDescent="0.2">
      <c r="B63" s="17" t="s">
        <v>85</v>
      </c>
      <c r="C63" s="17" t="s">
        <v>6</v>
      </c>
      <c r="D63" s="17" t="s">
        <v>43</v>
      </c>
      <c r="E63" s="18">
        <v>11422.144999999999</v>
      </c>
      <c r="F63" s="17">
        <v>2079070000</v>
      </c>
      <c r="G63" s="2" t="s">
        <v>198</v>
      </c>
    </row>
    <row r="64" spans="2:7" x14ac:dyDescent="0.2">
      <c r="B64" s="17" t="s">
        <v>85</v>
      </c>
      <c r="C64" s="17" t="s">
        <v>13</v>
      </c>
      <c r="D64" s="17" t="s">
        <v>37</v>
      </c>
      <c r="E64" s="18">
        <v>84438.864999999991</v>
      </c>
      <c r="F64" s="17">
        <v>2079070000</v>
      </c>
      <c r="G64" s="2" t="s">
        <v>199</v>
      </c>
    </row>
    <row r="65" spans="2:7" x14ac:dyDescent="0.2">
      <c r="B65" s="17" t="s">
        <v>85</v>
      </c>
      <c r="C65" s="17">
        <v>111111</v>
      </c>
      <c r="D65" s="17" t="s">
        <v>100</v>
      </c>
      <c r="E65" s="18">
        <v>638869.13</v>
      </c>
      <c r="F65" s="17">
        <v>2079070000</v>
      </c>
      <c r="G65" s="2" t="s">
        <v>158</v>
      </c>
    </row>
    <row r="66" spans="2:7" x14ac:dyDescent="0.2">
      <c r="B66" s="17" t="s">
        <v>86</v>
      </c>
      <c r="C66" s="17" t="s">
        <v>11</v>
      </c>
      <c r="D66" s="17" t="s">
        <v>48</v>
      </c>
      <c r="E66" s="18">
        <v>0</v>
      </c>
      <c r="F66" s="17">
        <v>2079080000</v>
      </c>
      <c r="G66" s="2" t="s">
        <v>200</v>
      </c>
    </row>
    <row r="67" spans="2:7" x14ac:dyDescent="0.2">
      <c r="B67" s="17" t="s">
        <v>86</v>
      </c>
      <c r="C67" s="17">
        <v>1007</v>
      </c>
      <c r="D67" s="17" t="s">
        <v>38</v>
      </c>
      <c r="E67" s="18">
        <v>0</v>
      </c>
      <c r="F67" s="17">
        <v>2079080000</v>
      </c>
      <c r="G67" s="2" t="s">
        <v>160</v>
      </c>
    </row>
    <row r="68" spans="2:7" x14ac:dyDescent="0.2">
      <c r="B68" s="17" t="s">
        <v>86</v>
      </c>
      <c r="C68" s="17">
        <v>1008</v>
      </c>
      <c r="D68" s="17" t="s">
        <v>40</v>
      </c>
      <c r="E68" s="18">
        <v>0</v>
      </c>
      <c r="F68" s="17">
        <v>2079080000</v>
      </c>
      <c r="G68" s="2" t="s">
        <v>161</v>
      </c>
    </row>
    <row r="69" spans="2:7" x14ac:dyDescent="0.2">
      <c r="B69" s="17" t="s">
        <v>87</v>
      </c>
      <c r="C69" s="17" t="s">
        <v>11</v>
      </c>
      <c r="D69" s="17" t="s">
        <v>48</v>
      </c>
      <c r="E69" s="18">
        <v>0</v>
      </c>
      <c r="F69" s="17">
        <v>2082280000</v>
      </c>
      <c r="G69" s="2" t="s">
        <v>201</v>
      </c>
    </row>
    <row r="70" spans="2:7" x14ac:dyDescent="0.2">
      <c r="B70" s="17" t="s">
        <v>87</v>
      </c>
      <c r="C70" s="17">
        <v>1009</v>
      </c>
      <c r="D70" s="17" t="s">
        <v>36</v>
      </c>
      <c r="E70" s="18">
        <v>0</v>
      </c>
      <c r="F70" s="17">
        <v>2082280000</v>
      </c>
      <c r="G70" s="2" t="s">
        <v>162</v>
      </c>
    </row>
    <row r="71" spans="2:7" x14ac:dyDescent="0.2">
      <c r="B71" s="17" t="s">
        <v>87</v>
      </c>
      <c r="C71" s="17">
        <v>1007</v>
      </c>
      <c r="D71" s="17" t="s">
        <v>38</v>
      </c>
      <c r="E71" s="18">
        <v>0</v>
      </c>
      <c r="F71" s="17">
        <v>2082280000</v>
      </c>
      <c r="G71" s="2" t="s">
        <v>163</v>
      </c>
    </row>
    <row r="72" spans="2:7" x14ac:dyDescent="0.2">
      <c r="B72" s="17" t="s">
        <v>87</v>
      </c>
      <c r="C72" s="17">
        <v>1008</v>
      </c>
      <c r="D72" s="17" t="s">
        <v>40</v>
      </c>
      <c r="E72" s="18">
        <v>0</v>
      </c>
      <c r="F72" s="17">
        <v>2082280000</v>
      </c>
      <c r="G72" s="2" t="s">
        <v>164</v>
      </c>
    </row>
    <row r="73" spans="2:7" x14ac:dyDescent="0.2">
      <c r="B73" s="17" t="s">
        <v>87</v>
      </c>
      <c r="C73" s="17">
        <v>1240</v>
      </c>
      <c r="D73" s="17" t="s">
        <v>45</v>
      </c>
      <c r="E73" s="18">
        <v>-34224.959999999999</v>
      </c>
      <c r="F73" s="17">
        <v>2082280000</v>
      </c>
      <c r="G73" s="2" t="s">
        <v>165</v>
      </c>
    </row>
    <row r="74" spans="2:7" x14ac:dyDescent="0.2">
      <c r="B74" s="17" t="s">
        <v>87</v>
      </c>
      <c r="C74" s="17">
        <v>1006</v>
      </c>
      <c r="D74" s="17" t="s">
        <v>55</v>
      </c>
      <c r="E74" s="18">
        <v>-6778.415</v>
      </c>
      <c r="F74" s="17">
        <v>2082280000</v>
      </c>
      <c r="G74" s="2" t="s">
        <v>202</v>
      </c>
    </row>
    <row r="75" spans="2:7" x14ac:dyDescent="0.2">
      <c r="B75" s="17" t="s">
        <v>87</v>
      </c>
      <c r="C75" s="17">
        <v>1007</v>
      </c>
      <c r="D75" s="17" t="s">
        <v>39</v>
      </c>
      <c r="E75" s="18">
        <v>0</v>
      </c>
      <c r="F75" s="17">
        <v>2082280000</v>
      </c>
      <c r="G75" s="2" t="s">
        <v>163</v>
      </c>
    </row>
    <row r="76" spans="2:7" x14ac:dyDescent="0.2">
      <c r="B76" s="17" t="s">
        <v>87</v>
      </c>
      <c r="C76" s="17">
        <v>111111</v>
      </c>
      <c r="D76" s="17" t="s">
        <v>100</v>
      </c>
      <c r="E76" s="18">
        <v>-2204.7199999999998</v>
      </c>
      <c r="F76" s="17">
        <v>2082280000</v>
      </c>
      <c r="G76" s="2" t="s">
        <v>166</v>
      </c>
    </row>
    <row r="77" spans="2:7" x14ac:dyDescent="0.2">
      <c r="B77" s="17" t="s">
        <v>88</v>
      </c>
      <c r="C77" s="17">
        <v>111101</v>
      </c>
      <c r="D77" s="17" t="s">
        <v>1</v>
      </c>
      <c r="E77" s="18">
        <v>80617.179999999993</v>
      </c>
      <c r="F77" s="17">
        <v>2082208200</v>
      </c>
      <c r="G77" s="2" t="s">
        <v>168</v>
      </c>
    </row>
    <row r="78" spans="2:7" x14ac:dyDescent="0.2">
      <c r="B78" s="17" t="s">
        <v>89</v>
      </c>
      <c r="C78" s="17">
        <v>88</v>
      </c>
      <c r="D78" s="17" t="s">
        <v>33</v>
      </c>
      <c r="E78" s="18">
        <v>2752704.22</v>
      </c>
      <c r="F78" s="17">
        <v>2082214000</v>
      </c>
      <c r="G78" s="2" t="s">
        <v>169</v>
      </c>
    </row>
    <row r="79" spans="2:7" x14ac:dyDescent="0.2">
      <c r="B79" s="17" t="s">
        <v>89</v>
      </c>
      <c r="C79" s="17">
        <v>1007</v>
      </c>
      <c r="D79" s="17" t="s">
        <v>39</v>
      </c>
      <c r="E79" s="18">
        <v>0</v>
      </c>
      <c r="F79" s="17">
        <v>2082214000</v>
      </c>
      <c r="G79" s="2" t="s">
        <v>203</v>
      </c>
    </row>
    <row r="80" spans="2:7" x14ac:dyDescent="0.2">
      <c r="B80" s="17" t="s">
        <v>89</v>
      </c>
      <c r="C80" s="17">
        <v>111111</v>
      </c>
      <c r="D80" s="17" t="s">
        <v>100</v>
      </c>
      <c r="E80" s="18">
        <v>1250.7950000000001</v>
      </c>
      <c r="F80" s="17">
        <v>2082214000</v>
      </c>
      <c r="G80" s="2" t="s">
        <v>204</v>
      </c>
    </row>
    <row r="81" spans="2:7" x14ac:dyDescent="0.2">
      <c r="B81" s="17" t="s">
        <v>103</v>
      </c>
      <c r="C81" s="17">
        <v>1240</v>
      </c>
      <c r="D81" s="17" t="s">
        <v>45</v>
      </c>
      <c r="E81" s="18">
        <v>4130000</v>
      </c>
      <c r="F81" s="17">
        <v>2082110000</v>
      </c>
      <c r="G81" s="2" t="s">
        <v>205</v>
      </c>
    </row>
    <row r="82" spans="2:7" x14ac:dyDescent="0.2">
      <c r="B82" s="17" t="s">
        <v>90</v>
      </c>
      <c r="C82" s="17">
        <v>111101</v>
      </c>
      <c r="D82" s="17" t="s">
        <v>1</v>
      </c>
      <c r="E82" s="18">
        <v>496748.70000000007</v>
      </c>
      <c r="F82" s="17">
        <v>2091200000</v>
      </c>
      <c r="G82" s="2" t="s">
        <v>170</v>
      </c>
    </row>
    <row r="83" spans="2:7" x14ac:dyDescent="0.2">
      <c r="B83" s="17" t="s">
        <v>91</v>
      </c>
      <c r="C83" s="17">
        <v>111101</v>
      </c>
      <c r="D83" s="17" t="s">
        <v>1</v>
      </c>
      <c r="E83" s="18">
        <v>480872.96000000002</v>
      </c>
      <c r="F83" s="17">
        <v>2091200001</v>
      </c>
      <c r="G83" s="2" t="s">
        <v>171</v>
      </c>
    </row>
    <row r="84" spans="2:7" x14ac:dyDescent="0.2">
      <c r="B84" s="17" t="s">
        <v>24</v>
      </c>
      <c r="C84" s="17">
        <v>111101</v>
      </c>
      <c r="D84" s="17" t="s">
        <v>1</v>
      </c>
      <c r="E84" s="18">
        <v>0</v>
      </c>
      <c r="F84" s="17">
        <v>2091900000</v>
      </c>
      <c r="G84" s="2" t="s">
        <v>206</v>
      </c>
    </row>
    <row r="85" spans="2:7" x14ac:dyDescent="0.2">
      <c r="B85" s="17" t="s">
        <v>92</v>
      </c>
      <c r="C85" s="17">
        <v>111101</v>
      </c>
      <c r="D85" s="17" t="s">
        <v>1</v>
      </c>
      <c r="E85" s="18">
        <v>6570.3050000000003</v>
      </c>
      <c r="F85" s="17">
        <v>2092200000</v>
      </c>
      <c r="G85" s="2" t="s">
        <v>172</v>
      </c>
    </row>
    <row r="86" spans="2:7" x14ac:dyDescent="0.2">
      <c r="B86" s="20" t="s">
        <v>65</v>
      </c>
      <c r="C86" s="20">
        <v>111101</v>
      </c>
      <c r="D86" s="20" t="s">
        <v>1</v>
      </c>
      <c r="E86" s="21">
        <v>6073808.1600000001</v>
      </c>
      <c r="F86" s="20">
        <v>2111111999</v>
      </c>
      <c r="G86" s="2" t="s">
        <v>207</v>
      </c>
    </row>
    <row r="87" spans="2:7" x14ac:dyDescent="0.2">
      <c r="C87" s="6"/>
    </row>
    <row r="88" spans="2:7" x14ac:dyDescent="0.2">
      <c r="C88" s="6"/>
    </row>
    <row r="89" spans="2:7" x14ac:dyDescent="0.2">
      <c r="C89" s="6"/>
    </row>
    <row r="90" spans="2:7" x14ac:dyDescent="0.2">
      <c r="C90" s="6"/>
    </row>
    <row r="91" spans="2:7" x14ac:dyDescent="0.2">
      <c r="C91" s="6"/>
    </row>
    <row r="92" spans="2:7" x14ac:dyDescent="0.2">
      <c r="C92" s="6"/>
    </row>
    <row r="93" spans="2:7" x14ac:dyDescent="0.2">
      <c r="C93" s="6"/>
    </row>
    <row r="94" spans="2:7" x14ac:dyDescent="0.2">
      <c r="C94" s="6"/>
    </row>
    <row r="95" spans="2:7" x14ac:dyDescent="0.2">
      <c r="C95" s="6"/>
    </row>
    <row r="96" spans="2:7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</sheetData>
  <autoFilter ref="B4:F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117"/>
  <sheetViews>
    <sheetView workbookViewId="0">
      <selection activeCell="H27" sqref="H27"/>
    </sheetView>
  </sheetViews>
  <sheetFormatPr defaultColWidth="9.109375" defaultRowHeight="11.4" x14ac:dyDescent="0.2"/>
  <cols>
    <col min="1" max="1" width="2" style="2" customWidth="1"/>
    <col min="2" max="2" width="34.21875" style="2" customWidth="1"/>
    <col min="3" max="3" width="22.109375" style="2" customWidth="1"/>
    <col min="4" max="4" width="24.21875" style="2" customWidth="1"/>
    <col min="5" max="5" width="11.5546875" style="2" bestFit="1" customWidth="1"/>
    <col min="6" max="6" width="15.44140625" style="2" customWidth="1"/>
    <col min="7" max="7" width="16" style="2" customWidth="1"/>
    <col min="8" max="16384" width="9.109375" style="2"/>
  </cols>
  <sheetData>
    <row r="1" spans="2:7" ht="15.6" x14ac:dyDescent="0.3">
      <c r="B1" s="3" t="s">
        <v>111</v>
      </c>
    </row>
    <row r="4" spans="2:7" x14ac:dyDescent="0.2">
      <c r="B4" s="17" t="s">
        <v>112</v>
      </c>
      <c r="C4" s="17" t="s">
        <v>0</v>
      </c>
      <c r="D4" s="17" t="s">
        <v>113</v>
      </c>
      <c r="E4" s="17" t="s">
        <v>114</v>
      </c>
      <c r="F4" s="17" t="s">
        <v>115</v>
      </c>
      <c r="G4" s="2" t="s">
        <v>116</v>
      </c>
    </row>
    <row r="5" spans="2:7" x14ac:dyDescent="0.2">
      <c r="B5" s="17" t="s">
        <v>66</v>
      </c>
      <c r="C5" s="17">
        <v>105</v>
      </c>
      <c r="D5" s="17" t="s">
        <v>34</v>
      </c>
      <c r="E5" s="18">
        <v>-616462.01899999997</v>
      </c>
      <c r="F5" s="17">
        <v>2001110000</v>
      </c>
      <c r="G5" s="2" t="s">
        <v>174</v>
      </c>
    </row>
    <row r="6" spans="2:7" x14ac:dyDescent="0.2">
      <c r="B6" s="17" t="s">
        <v>66</v>
      </c>
      <c r="C6" s="17">
        <v>111111</v>
      </c>
      <c r="D6" s="17" t="s">
        <v>100</v>
      </c>
      <c r="E6" s="18">
        <v>-14431341</v>
      </c>
      <c r="F6" s="19">
        <v>2001110000</v>
      </c>
      <c r="G6" s="2" t="s">
        <v>117</v>
      </c>
    </row>
    <row r="7" spans="2:7" x14ac:dyDescent="0.2">
      <c r="B7" s="17" t="s">
        <v>67</v>
      </c>
      <c r="C7" s="17">
        <v>111111</v>
      </c>
      <c r="D7" s="17" t="s">
        <v>100</v>
      </c>
      <c r="E7" s="18">
        <v>-6373617.5140000004</v>
      </c>
      <c r="F7" s="17">
        <v>2001190000</v>
      </c>
      <c r="G7" s="2" t="s">
        <v>118</v>
      </c>
    </row>
    <row r="8" spans="2:7" x14ac:dyDescent="0.2">
      <c r="B8" s="17" t="s">
        <v>104</v>
      </c>
      <c r="C8" s="17">
        <v>111111</v>
      </c>
      <c r="D8" s="17" t="s">
        <v>100</v>
      </c>
      <c r="E8" s="18">
        <v>20504.509999999998</v>
      </c>
      <c r="F8" s="17">
        <v>2021210000</v>
      </c>
      <c r="G8" s="2" t="s">
        <v>176</v>
      </c>
    </row>
    <row r="9" spans="2:7" x14ac:dyDescent="0.2">
      <c r="B9" s="17" t="s">
        <v>101</v>
      </c>
      <c r="C9" s="17">
        <v>111111</v>
      </c>
      <c r="D9" s="17" t="s">
        <v>100</v>
      </c>
      <c r="E9" s="18">
        <v>5674152.0669999998</v>
      </c>
      <c r="F9" s="17">
        <v>2021900000</v>
      </c>
      <c r="G9" s="2" t="s">
        <v>123</v>
      </c>
    </row>
    <row r="10" spans="2:7" x14ac:dyDescent="0.2">
      <c r="B10" s="17" t="s">
        <v>25</v>
      </c>
      <c r="C10" s="17">
        <v>111111</v>
      </c>
      <c r="D10" s="17" t="s">
        <v>100</v>
      </c>
      <c r="E10" s="18">
        <v>13691.949999999999</v>
      </c>
      <c r="F10" s="17">
        <v>2024020000</v>
      </c>
      <c r="G10" s="2" t="s">
        <v>208</v>
      </c>
    </row>
    <row r="11" spans="2:7" x14ac:dyDescent="0.2">
      <c r="B11" s="17" t="s">
        <v>70</v>
      </c>
      <c r="C11" s="17">
        <v>111111</v>
      </c>
      <c r="D11" s="17" t="s">
        <v>100</v>
      </c>
      <c r="E11" s="18">
        <v>350370.99399999995</v>
      </c>
      <c r="F11" s="17">
        <v>2024080000</v>
      </c>
      <c r="G11" s="2" t="s">
        <v>124</v>
      </c>
    </row>
    <row r="12" spans="2:7" x14ac:dyDescent="0.2">
      <c r="B12" s="17" t="s">
        <v>69</v>
      </c>
      <c r="C12" s="17">
        <v>88</v>
      </c>
      <c r="D12" s="17" t="s">
        <v>33</v>
      </c>
      <c r="E12" s="18">
        <v>3116017.1540000001</v>
      </c>
      <c r="F12" s="17">
        <v>2024090000</v>
      </c>
      <c r="G12" s="2" t="s">
        <v>125</v>
      </c>
    </row>
    <row r="13" spans="2:7" x14ac:dyDescent="0.2">
      <c r="B13" s="17" t="s">
        <v>69</v>
      </c>
      <c r="C13" s="17" t="s">
        <v>12</v>
      </c>
      <c r="D13" s="17" t="s">
        <v>35</v>
      </c>
      <c r="E13" s="18">
        <v>0</v>
      </c>
      <c r="F13" s="17">
        <v>2024090000</v>
      </c>
      <c r="G13" s="2" t="s">
        <v>178</v>
      </c>
    </row>
    <row r="14" spans="2:7" x14ac:dyDescent="0.2">
      <c r="B14" s="17" t="s">
        <v>69</v>
      </c>
      <c r="C14" s="17" t="s">
        <v>13</v>
      </c>
      <c r="D14" s="17" t="s">
        <v>37</v>
      </c>
      <c r="E14" s="18">
        <v>673.34299999999985</v>
      </c>
      <c r="F14" s="17">
        <v>2024090000</v>
      </c>
      <c r="G14" s="2" t="s">
        <v>179</v>
      </c>
    </row>
    <row r="15" spans="2:7" x14ac:dyDescent="0.2">
      <c r="B15" s="17" t="s">
        <v>69</v>
      </c>
      <c r="C15" s="17" t="s">
        <v>26</v>
      </c>
      <c r="D15" s="17" t="s">
        <v>49</v>
      </c>
      <c r="E15" s="18">
        <v>192017.14499999996</v>
      </c>
      <c r="F15" s="17">
        <v>2024090000</v>
      </c>
      <c r="G15" s="2" t="s">
        <v>209</v>
      </c>
    </row>
    <row r="16" spans="2:7" x14ac:dyDescent="0.2">
      <c r="B16" s="17" t="s">
        <v>69</v>
      </c>
      <c r="C16" s="17" t="s">
        <v>7</v>
      </c>
      <c r="D16" s="17" t="s">
        <v>44</v>
      </c>
      <c r="E16" s="18">
        <v>375290.46599999996</v>
      </c>
      <c r="F16" s="17">
        <v>2024090000</v>
      </c>
      <c r="G16" s="2" t="s">
        <v>210</v>
      </c>
    </row>
    <row r="17" spans="2:7" x14ac:dyDescent="0.2">
      <c r="B17" s="17" t="s">
        <v>69</v>
      </c>
      <c r="C17" s="17">
        <v>17000</v>
      </c>
      <c r="D17" s="17" t="s">
        <v>51</v>
      </c>
      <c r="E17" s="18">
        <v>4920</v>
      </c>
      <c r="F17" s="17">
        <v>2024090000</v>
      </c>
      <c r="G17" s="2" t="s">
        <v>211</v>
      </c>
    </row>
    <row r="18" spans="2:7" x14ac:dyDescent="0.2">
      <c r="B18" s="17" t="s">
        <v>69</v>
      </c>
      <c r="C18" s="17">
        <v>111111</v>
      </c>
      <c r="D18" s="17" t="s">
        <v>100</v>
      </c>
      <c r="E18" s="18">
        <v>9783.7069999999985</v>
      </c>
      <c r="F18" s="17">
        <v>2024090000</v>
      </c>
      <c r="G18" s="2" t="s">
        <v>126</v>
      </c>
    </row>
    <row r="19" spans="2:7" x14ac:dyDescent="0.2">
      <c r="B19" s="17" t="s">
        <v>2</v>
      </c>
      <c r="C19" s="17">
        <v>111111</v>
      </c>
      <c r="D19" s="17" t="s">
        <v>100</v>
      </c>
      <c r="E19" s="18">
        <v>3982699.5329999998</v>
      </c>
      <c r="F19" s="17">
        <v>2041000000</v>
      </c>
      <c r="G19" s="2" t="s">
        <v>127</v>
      </c>
    </row>
    <row r="20" spans="2:7" x14ac:dyDescent="0.2">
      <c r="B20" s="17" t="s">
        <v>3</v>
      </c>
      <c r="C20" s="17">
        <v>111101</v>
      </c>
      <c r="D20" s="17" t="s">
        <v>1</v>
      </c>
      <c r="E20" s="18">
        <v>1420796.8209999998</v>
      </c>
      <c r="F20" s="17">
        <v>2042000000</v>
      </c>
      <c r="G20" s="2" t="s">
        <v>128</v>
      </c>
    </row>
    <row r="21" spans="2:7" x14ac:dyDescent="0.2">
      <c r="B21" s="17" t="s">
        <v>71</v>
      </c>
      <c r="C21" s="17">
        <v>111101</v>
      </c>
      <c r="D21" s="17" t="s">
        <v>1</v>
      </c>
      <c r="E21" s="18">
        <v>288891.82199999999</v>
      </c>
      <c r="F21" s="17">
        <v>2042000000</v>
      </c>
      <c r="G21" s="2" t="s">
        <v>128</v>
      </c>
    </row>
    <row r="22" spans="2:7" x14ac:dyDescent="0.2">
      <c r="B22" s="17" t="s">
        <v>72</v>
      </c>
      <c r="C22" s="17">
        <v>111101</v>
      </c>
      <c r="D22" s="17" t="s">
        <v>1</v>
      </c>
      <c r="E22" s="18">
        <v>143500</v>
      </c>
      <c r="F22" s="17">
        <v>2045000000</v>
      </c>
      <c r="G22" s="2" t="s">
        <v>130</v>
      </c>
    </row>
    <row r="23" spans="2:7" x14ac:dyDescent="0.2">
      <c r="B23" s="17" t="s">
        <v>73</v>
      </c>
      <c r="C23" s="17">
        <v>111101</v>
      </c>
      <c r="D23" s="17" t="s">
        <v>1</v>
      </c>
      <c r="E23" s="18">
        <v>1875768.159</v>
      </c>
      <c r="F23" s="17">
        <v>2051210000</v>
      </c>
      <c r="G23" s="2" t="s">
        <v>131</v>
      </c>
    </row>
    <row r="24" spans="2:7" x14ac:dyDescent="0.2">
      <c r="B24" s="17" t="s">
        <v>73</v>
      </c>
      <c r="C24" s="17">
        <v>111101</v>
      </c>
      <c r="D24" s="17" t="s">
        <v>1</v>
      </c>
      <c r="E24" s="18">
        <v>12593.355</v>
      </c>
      <c r="F24" s="17">
        <v>2051260000</v>
      </c>
      <c r="G24" s="2" t="s">
        <v>182</v>
      </c>
    </row>
    <row r="25" spans="2:7" x14ac:dyDescent="0.2">
      <c r="B25" s="17" t="s">
        <v>22</v>
      </c>
      <c r="C25" s="17" t="s">
        <v>20</v>
      </c>
      <c r="D25" s="17" t="s">
        <v>56</v>
      </c>
      <c r="E25" s="18">
        <v>0</v>
      </c>
      <c r="F25" s="17">
        <v>2060441000</v>
      </c>
      <c r="G25" s="2" t="s">
        <v>212</v>
      </c>
    </row>
    <row r="26" spans="2:7" x14ac:dyDescent="0.2">
      <c r="B26" s="17" t="s">
        <v>22</v>
      </c>
      <c r="C26" s="17">
        <v>111111</v>
      </c>
      <c r="D26" s="17" t="s">
        <v>100</v>
      </c>
      <c r="E26" s="18">
        <v>-1252.8369999999998</v>
      </c>
      <c r="F26" s="17">
        <v>2060441000</v>
      </c>
      <c r="G26" s="2" t="s">
        <v>213</v>
      </c>
    </row>
    <row r="27" spans="2:7" x14ac:dyDescent="0.2">
      <c r="B27" s="17" t="s">
        <v>74</v>
      </c>
      <c r="C27" s="17" t="s">
        <v>4</v>
      </c>
      <c r="D27" s="17" t="s">
        <v>41</v>
      </c>
      <c r="E27" s="18">
        <v>-1418521.358</v>
      </c>
      <c r="F27" s="17">
        <v>2069010000</v>
      </c>
      <c r="G27" s="2" t="s">
        <v>133</v>
      </c>
    </row>
    <row r="28" spans="2:7" x14ac:dyDescent="0.2">
      <c r="B28" s="17" t="s">
        <v>74</v>
      </c>
      <c r="C28" s="17">
        <v>19</v>
      </c>
      <c r="D28" s="17" t="s">
        <v>42</v>
      </c>
      <c r="E28" s="18">
        <v>-622966.38600000006</v>
      </c>
      <c r="F28" s="17">
        <v>2069010000</v>
      </c>
      <c r="G28" s="2" t="s">
        <v>184</v>
      </c>
    </row>
    <row r="29" spans="2:7" x14ac:dyDescent="0.2">
      <c r="B29" s="17" t="s">
        <v>74</v>
      </c>
      <c r="C29" s="17" t="s">
        <v>17</v>
      </c>
      <c r="D29" s="17" t="s">
        <v>52</v>
      </c>
      <c r="E29" s="18">
        <v>0</v>
      </c>
      <c r="F29" s="17">
        <v>2069010000</v>
      </c>
      <c r="G29" s="2" t="s">
        <v>185</v>
      </c>
    </row>
    <row r="30" spans="2:7" x14ac:dyDescent="0.2">
      <c r="B30" s="17" t="s">
        <v>74</v>
      </c>
      <c r="C30" s="17" t="s">
        <v>11</v>
      </c>
      <c r="D30" s="17" t="s">
        <v>48</v>
      </c>
      <c r="E30" s="18">
        <v>0</v>
      </c>
      <c r="F30" s="17">
        <v>2069010000</v>
      </c>
      <c r="G30" s="2" t="s">
        <v>186</v>
      </c>
    </row>
    <row r="31" spans="2:7" x14ac:dyDescent="0.2">
      <c r="B31" s="17" t="s">
        <v>74</v>
      </c>
      <c r="C31" s="17">
        <v>1009</v>
      </c>
      <c r="D31" s="17" t="s">
        <v>36</v>
      </c>
      <c r="E31" s="18">
        <v>0</v>
      </c>
      <c r="F31" s="17">
        <v>2069010000</v>
      </c>
      <c r="G31" s="2" t="s">
        <v>137</v>
      </c>
    </row>
    <row r="32" spans="2:7" x14ac:dyDescent="0.2">
      <c r="B32" s="17" t="s">
        <v>74</v>
      </c>
      <c r="C32" s="17">
        <v>1007</v>
      </c>
      <c r="D32" s="17" t="s">
        <v>38</v>
      </c>
      <c r="E32" s="18">
        <v>0</v>
      </c>
      <c r="F32" s="17">
        <v>2069010000</v>
      </c>
      <c r="G32" s="2" t="s">
        <v>138</v>
      </c>
    </row>
    <row r="33" spans="2:7" x14ac:dyDescent="0.2">
      <c r="B33" s="17" t="s">
        <v>74</v>
      </c>
      <c r="C33" s="17">
        <v>1008</v>
      </c>
      <c r="D33" s="17" t="s">
        <v>40</v>
      </c>
      <c r="E33" s="18">
        <v>0</v>
      </c>
      <c r="F33" s="17">
        <v>2069010000</v>
      </c>
      <c r="G33" s="2" t="s">
        <v>139</v>
      </c>
    </row>
    <row r="34" spans="2:7" x14ac:dyDescent="0.2">
      <c r="B34" s="17" t="s">
        <v>74</v>
      </c>
      <c r="C34" s="17">
        <v>1240</v>
      </c>
      <c r="D34" s="17" t="s">
        <v>45</v>
      </c>
      <c r="E34" s="18">
        <v>0</v>
      </c>
      <c r="F34" s="17">
        <v>2069010000</v>
      </c>
      <c r="G34" s="2" t="s">
        <v>140</v>
      </c>
    </row>
    <row r="35" spans="2:7" x14ac:dyDescent="0.2">
      <c r="B35" s="17" t="s">
        <v>74</v>
      </c>
      <c r="C35" s="17">
        <v>1006</v>
      </c>
      <c r="D35" s="17" t="s">
        <v>55</v>
      </c>
      <c r="E35" s="18">
        <v>0</v>
      </c>
      <c r="F35" s="17">
        <v>2069010000</v>
      </c>
      <c r="G35" s="2" t="s">
        <v>214</v>
      </c>
    </row>
    <row r="36" spans="2:7" x14ac:dyDescent="0.2">
      <c r="B36" s="17" t="s">
        <v>74</v>
      </c>
      <c r="C36" s="17">
        <v>1007</v>
      </c>
      <c r="D36" s="17" t="s">
        <v>39</v>
      </c>
      <c r="E36" s="18">
        <v>0</v>
      </c>
      <c r="F36" s="17">
        <v>2069010000</v>
      </c>
      <c r="G36" s="2" t="s">
        <v>138</v>
      </c>
    </row>
    <row r="37" spans="2:7" x14ac:dyDescent="0.2">
      <c r="B37" s="17" t="s">
        <v>74</v>
      </c>
      <c r="C37" s="17" t="s">
        <v>18</v>
      </c>
      <c r="D37" s="17" t="s">
        <v>53</v>
      </c>
      <c r="E37" s="18">
        <v>-1948832.1429999999</v>
      </c>
      <c r="F37" s="17">
        <v>2069010000</v>
      </c>
      <c r="G37" s="2" t="s">
        <v>187</v>
      </c>
    </row>
    <row r="38" spans="2:7" x14ac:dyDescent="0.2">
      <c r="B38" s="17" t="s">
        <v>74</v>
      </c>
      <c r="C38" s="17">
        <v>111111</v>
      </c>
      <c r="D38" s="17" t="s">
        <v>100</v>
      </c>
      <c r="E38" s="18">
        <v>-902857.84299999999</v>
      </c>
      <c r="F38" s="17">
        <v>2069010000</v>
      </c>
      <c r="G38" s="2" t="s">
        <v>141</v>
      </c>
    </row>
    <row r="39" spans="2:7" x14ac:dyDescent="0.2">
      <c r="B39" s="17" t="s">
        <v>27</v>
      </c>
      <c r="C39" s="17">
        <v>111111</v>
      </c>
      <c r="D39" s="17" t="s">
        <v>100</v>
      </c>
      <c r="E39" s="18">
        <v>-61499.999999999993</v>
      </c>
      <c r="F39" s="17">
        <v>2069020000</v>
      </c>
      <c r="G39" s="2" t="s">
        <v>215</v>
      </c>
    </row>
    <row r="40" spans="2:7" x14ac:dyDescent="0.2">
      <c r="B40" s="17" t="s">
        <v>75</v>
      </c>
      <c r="C40" s="17">
        <v>105</v>
      </c>
      <c r="D40" s="17" t="s">
        <v>34</v>
      </c>
      <c r="E40" s="18">
        <v>-30913.425999999996</v>
      </c>
      <c r="F40" s="17">
        <v>2069980000</v>
      </c>
      <c r="G40" s="2" t="s">
        <v>216</v>
      </c>
    </row>
    <row r="41" spans="2:7" x14ac:dyDescent="0.2">
      <c r="B41" s="17" t="s">
        <v>75</v>
      </c>
      <c r="C41" s="17">
        <v>111111</v>
      </c>
      <c r="D41" s="17" t="s">
        <v>100</v>
      </c>
      <c r="E41" s="18">
        <v>-15872.001999999999</v>
      </c>
      <c r="F41" s="17">
        <v>2069980000</v>
      </c>
      <c r="G41" s="2" t="s">
        <v>142</v>
      </c>
    </row>
    <row r="42" spans="2:7" x14ac:dyDescent="0.2">
      <c r="B42" s="17" t="s">
        <v>76</v>
      </c>
      <c r="C42" s="17">
        <v>111111</v>
      </c>
      <c r="D42" s="17" t="s">
        <v>100</v>
      </c>
      <c r="E42" s="18">
        <v>57.317999999999998</v>
      </c>
      <c r="F42" s="17">
        <v>2070400000</v>
      </c>
      <c r="G42" s="2" t="s">
        <v>143</v>
      </c>
    </row>
    <row r="43" spans="2:7" x14ac:dyDescent="0.2">
      <c r="B43" s="17" t="s">
        <v>77</v>
      </c>
      <c r="C43" s="17">
        <v>111111</v>
      </c>
      <c r="D43" s="17" t="s">
        <v>100</v>
      </c>
      <c r="E43" s="18">
        <v>19198.66</v>
      </c>
      <c r="F43" s="17">
        <v>2070500000</v>
      </c>
      <c r="G43" s="2" t="s">
        <v>145</v>
      </c>
    </row>
    <row r="44" spans="2:7" x14ac:dyDescent="0.2">
      <c r="B44" s="17" t="s">
        <v>78</v>
      </c>
      <c r="C44" s="17">
        <v>105</v>
      </c>
      <c r="D44" s="17" t="s">
        <v>34</v>
      </c>
      <c r="E44" s="18">
        <v>-1423120</v>
      </c>
      <c r="F44" s="17">
        <v>2070600000</v>
      </c>
      <c r="G44" s="2" t="s">
        <v>217</v>
      </c>
    </row>
    <row r="45" spans="2:7" x14ac:dyDescent="0.2">
      <c r="B45" s="17" t="s">
        <v>78</v>
      </c>
      <c r="C45" s="17">
        <v>111111</v>
      </c>
      <c r="D45" s="17" t="s">
        <v>100</v>
      </c>
      <c r="E45" s="18">
        <v>-172933.44899999999</v>
      </c>
      <c r="F45" s="17">
        <v>2070600000</v>
      </c>
      <c r="G45" s="2" t="s">
        <v>146</v>
      </c>
    </row>
    <row r="46" spans="2:7" x14ac:dyDescent="0.2">
      <c r="B46" s="17" t="s">
        <v>79</v>
      </c>
      <c r="C46" s="17">
        <v>105</v>
      </c>
      <c r="D46" s="17" t="s">
        <v>34</v>
      </c>
      <c r="E46" s="18">
        <v>473575.46100000001</v>
      </c>
      <c r="F46" s="17">
        <v>2070900000</v>
      </c>
      <c r="G46" s="2" t="s">
        <v>190</v>
      </c>
    </row>
    <row r="47" spans="2:7" x14ac:dyDescent="0.2">
      <c r="B47" s="17" t="s">
        <v>79</v>
      </c>
      <c r="C47" s="17">
        <v>111111</v>
      </c>
      <c r="D47" s="17" t="s">
        <v>100</v>
      </c>
      <c r="E47" s="18">
        <v>1481408.47</v>
      </c>
      <c r="F47" s="17">
        <v>2070900000</v>
      </c>
      <c r="G47" s="2" t="s">
        <v>149</v>
      </c>
    </row>
    <row r="48" spans="2:7" x14ac:dyDescent="0.2">
      <c r="B48" s="17" t="s">
        <v>8</v>
      </c>
      <c r="C48" s="17">
        <v>111111</v>
      </c>
      <c r="D48" s="17" t="s">
        <v>100</v>
      </c>
      <c r="E48" s="18">
        <v>40048.799999999996</v>
      </c>
      <c r="F48" s="17">
        <v>2071000000</v>
      </c>
      <c r="G48" s="2" t="s">
        <v>150</v>
      </c>
    </row>
    <row r="49" spans="2:7" x14ac:dyDescent="0.2">
      <c r="B49" s="17" t="s">
        <v>80</v>
      </c>
      <c r="C49" s="17">
        <v>88</v>
      </c>
      <c r="D49" s="17" t="s">
        <v>33</v>
      </c>
      <c r="E49" s="18">
        <v>584.66</v>
      </c>
      <c r="F49" s="17">
        <v>2071100000</v>
      </c>
      <c r="G49" s="2" t="s">
        <v>218</v>
      </c>
    </row>
    <row r="50" spans="2:7" x14ac:dyDescent="0.2">
      <c r="B50" s="17" t="s">
        <v>80</v>
      </c>
      <c r="C50" s="17">
        <v>111111</v>
      </c>
      <c r="D50" s="17" t="s">
        <v>100</v>
      </c>
      <c r="E50" s="18">
        <v>64039.82699999999</v>
      </c>
      <c r="F50" s="17">
        <v>2071100000</v>
      </c>
      <c r="G50" s="2" t="s">
        <v>151</v>
      </c>
    </row>
    <row r="51" spans="2:7" x14ac:dyDescent="0.2">
      <c r="B51" s="17" t="s">
        <v>28</v>
      </c>
      <c r="C51" s="17">
        <v>111111</v>
      </c>
      <c r="D51" s="17" t="s">
        <v>100</v>
      </c>
      <c r="E51" s="18">
        <v>1352.9999999999998</v>
      </c>
      <c r="F51" s="17">
        <v>2071209100</v>
      </c>
      <c r="G51" s="2" t="s">
        <v>219</v>
      </c>
    </row>
    <row r="52" spans="2:7" x14ac:dyDescent="0.2">
      <c r="B52" s="17" t="s">
        <v>9</v>
      </c>
      <c r="C52" s="17">
        <v>111111</v>
      </c>
      <c r="D52" s="17" t="s">
        <v>100</v>
      </c>
      <c r="E52" s="18">
        <v>2514431.8869999996</v>
      </c>
      <c r="F52" s="17">
        <v>2071209200</v>
      </c>
      <c r="G52" s="2" t="s">
        <v>152</v>
      </c>
    </row>
    <row r="53" spans="2:7" x14ac:dyDescent="0.2">
      <c r="B53" s="17" t="s">
        <v>81</v>
      </c>
      <c r="C53" s="17">
        <v>111111</v>
      </c>
      <c r="D53" s="17" t="s">
        <v>100</v>
      </c>
      <c r="E53" s="18">
        <v>4194.2999999999993</v>
      </c>
      <c r="F53" s="17">
        <v>2071209400</v>
      </c>
      <c r="G53" s="2" t="s">
        <v>153</v>
      </c>
    </row>
    <row r="54" spans="2:7" x14ac:dyDescent="0.2">
      <c r="B54" s="17" t="s">
        <v>82</v>
      </c>
      <c r="C54" s="17">
        <v>111111</v>
      </c>
      <c r="D54" s="17" t="s">
        <v>100</v>
      </c>
      <c r="E54" s="18">
        <v>106525.708</v>
      </c>
      <c r="F54" s="17">
        <v>2071209500</v>
      </c>
      <c r="G54" s="2" t="s">
        <v>154</v>
      </c>
    </row>
    <row r="55" spans="2:7" x14ac:dyDescent="0.2">
      <c r="B55" s="17" t="s">
        <v>83</v>
      </c>
      <c r="C55" s="17">
        <v>111101</v>
      </c>
      <c r="D55" s="17" t="s">
        <v>1</v>
      </c>
      <c r="E55" s="18">
        <v>109811.284</v>
      </c>
      <c r="F55" s="17">
        <v>2071980000</v>
      </c>
      <c r="G55" s="2" t="s">
        <v>155</v>
      </c>
    </row>
    <row r="56" spans="2:7" x14ac:dyDescent="0.2">
      <c r="B56" s="17" t="s">
        <v>84</v>
      </c>
      <c r="C56" s="17">
        <v>111111</v>
      </c>
      <c r="D56" s="17" t="s">
        <v>100</v>
      </c>
      <c r="E56" s="18">
        <v>61111.483999999997</v>
      </c>
      <c r="F56" s="17">
        <v>2079022000</v>
      </c>
      <c r="G56" s="2" t="s">
        <v>156</v>
      </c>
    </row>
    <row r="57" spans="2:7" x14ac:dyDescent="0.2">
      <c r="B57" s="17" t="s">
        <v>85</v>
      </c>
      <c r="C57" s="17" t="s">
        <v>13</v>
      </c>
      <c r="D57" s="17" t="s">
        <v>37</v>
      </c>
      <c r="E57" s="18">
        <v>0</v>
      </c>
      <c r="F57" s="17">
        <v>2079070000</v>
      </c>
      <c r="G57" s="2" t="s">
        <v>199</v>
      </c>
    </row>
    <row r="58" spans="2:7" x14ac:dyDescent="0.2">
      <c r="B58" s="17" t="s">
        <v>85</v>
      </c>
      <c r="C58" s="17">
        <v>105</v>
      </c>
      <c r="D58" s="17" t="s">
        <v>34</v>
      </c>
      <c r="E58" s="18">
        <v>1684415.2999999998</v>
      </c>
      <c r="F58" s="17">
        <v>2079070000</v>
      </c>
      <c r="G58" s="2" t="s">
        <v>157</v>
      </c>
    </row>
    <row r="59" spans="2:7" x14ac:dyDescent="0.2">
      <c r="B59" s="17" t="s">
        <v>85</v>
      </c>
      <c r="C59" s="17">
        <v>111111</v>
      </c>
      <c r="D59" s="17" t="s">
        <v>100</v>
      </c>
      <c r="E59" s="18">
        <v>575626.2649999999</v>
      </c>
      <c r="F59" s="17">
        <v>2079070000</v>
      </c>
      <c r="G59" s="2" t="s">
        <v>158</v>
      </c>
    </row>
    <row r="60" spans="2:7" x14ac:dyDescent="0.2">
      <c r="B60" s="17" t="s">
        <v>86</v>
      </c>
      <c r="C60" s="17" t="s">
        <v>11</v>
      </c>
      <c r="D60" s="17" t="s">
        <v>48</v>
      </c>
      <c r="E60" s="18">
        <v>0</v>
      </c>
      <c r="F60" s="17">
        <v>2079080000</v>
      </c>
      <c r="G60" s="2" t="s">
        <v>200</v>
      </c>
    </row>
    <row r="61" spans="2:7" x14ac:dyDescent="0.2">
      <c r="B61" s="17" t="s">
        <v>86</v>
      </c>
      <c r="C61" s="17">
        <v>1007</v>
      </c>
      <c r="D61" s="17" t="s">
        <v>39</v>
      </c>
      <c r="E61" s="18">
        <v>0</v>
      </c>
      <c r="F61" s="17">
        <v>2079080000</v>
      </c>
      <c r="G61" s="2" t="s">
        <v>160</v>
      </c>
    </row>
    <row r="62" spans="2:7" x14ac:dyDescent="0.2">
      <c r="B62" s="17" t="s">
        <v>87</v>
      </c>
      <c r="C62" s="17" t="s">
        <v>11</v>
      </c>
      <c r="D62" s="17" t="s">
        <v>48</v>
      </c>
      <c r="E62" s="18">
        <v>0</v>
      </c>
      <c r="F62" s="17">
        <v>2082280000</v>
      </c>
      <c r="G62" s="2" t="s">
        <v>201</v>
      </c>
    </row>
    <row r="63" spans="2:7" x14ac:dyDescent="0.2">
      <c r="B63" s="17" t="s">
        <v>87</v>
      </c>
      <c r="C63" s="17">
        <v>1009</v>
      </c>
      <c r="D63" s="17" t="s">
        <v>36</v>
      </c>
      <c r="E63" s="18">
        <v>0</v>
      </c>
      <c r="F63" s="17">
        <v>2082280000</v>
      </c>
      <c r="G63" s="2" t="s">
        <v>162</v>
      </c>
    </row>
    <row r="64" spans="2:7" x14ac:dyDescent="0.2">
      <c r="B64" s="17" t="s">
        <v>87</v>
      </c>
      <c r="C64" s="17">
        <v>1007</v>
      </c>
      <c r="D64" s="17" t="s">
        <v>38</v>
      </c>
      <c r="E64" s="18">
        <v>0</v>
      </c>
      <c r="F64" s="17">
        <v>2082280000</v>
      </c>
      <c r="G64" s="2" t="s">
        <v>163</v>
      </c>
    </row>
    <row r="65" spans="2:7" x14ac:dyDescent="0.2">
      <c r="B65" s="17" t="s">
        <v>87</v>
      </c>
      <c r="C65" s="17">
        <v>1008</v>
      </c>
      <c r="D65" s="17" t="s">
        <v>40</v>
      </c>
      <c r="E65" s="18">
        <v>0</v>
      </c>
      <c r="F65" s="17">
        <v>2082280000</v>
      </c>
      <c r="G65" s="2" t="s">
        <v>164</v>
      </c>
    </row>
    <row r="66" spans="2:7" x14ac:dyDescent="0.2">
      <c r="B66" s="17" t="s">
        <v>87</v>
      </c>
      <c r="C66" s="17">
        <v>1240</v>
      </c>
      <c r="D66" s="17" t="s">
        <v>45</v>
      </c>
      <c r="E66" s="18">
        <v>0</v>
      </c>
      <c r="F66" s="17">
        <v>2082280000</v>
      </c>
      <c r="G66" s="2" t="s">
        <v>165</v>
      </c>
    </row>
    <row r="67" spans="2:7" x14ac:dyDescent="0.2">
      <c r="B67" s="17" t="s">
        <v>87</v>
      </c>
      <c r="C67" s="17">
        <v>1006</v>
      </c>
      <c r="D67" s="17" t="s">
        <v>55</v>
      </c>
      <c r="E67" s="18">
        <v>0</v>
      </c>
      <c r="F67" s="17">
        <v>2082280000</v>
      </c>
      <c r="G67" s="2" t="s">
        <v>202</v>
      </c>
    </row>
    <row r="68" spans="2:7" x14ac:dyDescent="0.2">
      <c r="B68" s="17" t="s">
        <v>87</v>
      </c>
      <c r="C68" s="17">
        <v>111111</v>
      </c>
      <c r="D68" s="17" t="s">
        <v>100</v>
      </c>
      <c r="E68" s="18">
        <v>-73809.511999999988</v>
      </c>
      <c r="F68" s="17">
        <v>2082280000</v>
      </c>
      <c r="G68" s="2" t="s">
        <v>166</v>
      </c>
    </row>
    <row r="69" spans="2:7" x14ac:dyDescent="0.2">
      <c r="B69" s="17" t="s">
        <v>88</v>
      </c>
      <c r="C69" s="17">
        <v>111101</v>
      </c>
      <c r="D69" s="17" t="s">
        <v>1</v>
      </c>
      <c r="E69" s="18">
        <v>7173.195999999999</v>
      </c>
      <c r="F69" s="17">
        <v>2082208200</v>
      </c>
      <c r="G69" s="2" t="s">
        <v>168</v>
      </c>
    </row>
    <row r="70" spans="2:7" x14ac:dyDescent="0.2">
      <c r="B70" s="17" t="s">
        <v>89</v>
      </c>
      <c r="C70" s="17">
        <v>88</v>
      </c>
      <c r="D70" s="17" t="s">
        <v>33</v>
      </c>
      <c r="E70" s="18">
        <v>2324465.8859999999</v>
      </c>
      <c r="F70" s="17">
        <v>2082214000</v>
      </c>
      <c r="G70" s="2" t="s">
        <v>169</v>
      </c>
    </row>
    <row r="71" spans="2:7" x14ac:dyDescent="0.2">
      <c r="B71" s="17" t="s">
        <v>89</v>
      </c>
      <c r="C71" s="17">
        <v>1007</v>
      </c>
      <c r="D71" s="17" t="s">
        <v>39</v>
      </c>
      <c r="E71" s="18">
        <v>0</v>
      </c>
      <c r="F71" s="17">
        <v>2082214000</v>
      </c>
      <c r="G71" s="2" t="s">
        <v>203</v>
      </c>
    </row>
    <row r="72" spans="2:7" x14ac:dyDescent="0.2">
      <c r="B72" s="17" t="s">
        <v>89</v>
      </c>
      <c r="C72" s="17">
        <v>111111</v>
      </c>
      <c r="D72" s="17" t="s">
        <v>100</v>
      </c>
      <c r="E72" s="18">
        <v>51.454999999999998</v>
      </c>
      <c r="F72" s="17">
        <v>2082214000</v>
      </c>
      <c r="G72" s="2" t="s">
        <v>204</v>
      </c>
    </row>
    <row r="73" spans="2:7" x14ac:dyDescent="0.2">
      <c r="B73" s="17" t="s">
        <v>103</v>
      </c>
      <c r="C73" s="17">
        <v>111101</v>
      </c>
      <c r="D73" s="17" t="s">
        <v>1</v>
      </c>
      <c r="E73" s="18">
        <v>0</v>
      </c>
      <c r="F73" s="17">
        <v>2082110000</v>
      </c>
      <c r="G73" s="2" t="s">
        <v>220</v>
      </c>
    </row>
    <row r="74" spans="2:7" x14ac:dyDescent="0.2">
      <c r="B74" s="17" t="s">
        <v>90</v>
      </c>
      <c r="C74" s="17">
        <v>111101</v>
      </c>
      <c r="D74" s="17" t="s">
        <v>1</v>
      </c>
      <c r="E74" s="18">
        <v>2558.1950000000002</v>
      </c>
      <c r="F74" s="17">
        <v>2091200000</v>
      </c>
      <c r="G74" s="2" t="s">
        <v>170</v>
      </c>
    </row>
    <row r="75" spans="2:7" x14ac:dyDescent="0.2">
      <c r="B75" s="17" t="s">
        <v>91</v>
      </c>
      <c r="C75" s="17">
        <v>111101</v>
      </c>
      <c r="D75" s="17" t="s">
        <v>1</v>
      </c>
      <c r="E75" s="18">
        <v>522710.353</v>
      </c>
      <c r="F75" s="17">
        <v>2091200001</v>
      </c>
      <c r="G75" s="2" t="s">
        <v>171</v>
      </c>
    </row>
    <row r="76" spans="2:7" x14ac:dyDescent="0.2">
      <c r="B76" s="17" t="s">
        <v>92</v>
      </c>
      <c r="C76" s="17">
        <v>111101</v>
      </c>
      <c r="D76" s="17" t="s">
        <v>1</v>
      </c>
      <c r="E76" s="18">
        <v>-160303.52199999997</v>
      </c>
      <c r="F76" s="17">
        <v>2092200000</v>
      </c>
      <c r="G76" s="2" t="s">
        <v>172</v>
      </c>
    </row>
    <row r="77" spans="2:7" x14ac:dyDescent="0.2">
      <c r="B77" s="17" t="s">
        <v>29</v>
      </c>
      <c r="C77" s="17">
        <v>111101</v>
      </c>
      <c r="D77" s="17" t="s">
        <v>1</v>
      </c>
      <c r="E77" s="18">
        <v>0</v>
      </c>
      <c r="F77" s="17">
        <v>2111111997</v>
      </c>
      <c r="G77" s="2" t="s">
        <v>221</v>
      </c>
    </row>
    <row r="78" spans="2:7" x14ac:dyDescent="0.2">
      <c r="B78" s="20" t="s">
        <v>65</v>
      </c>
      <c r="C78" s="20">
        <v>111101</v>
      </c>
      <c r="D78" s="20" t="s">
        <v>1</v>
      </c>
      <c r="E78" s="21">
        <v>-779290.47600000002</v>
      </c>
      <c r="F78" s="20">
        <v>2111111999</v>
      </c>
      <c r="G78" s="2" t="s">
        <v>207</v>
      </c>
    </row>
    <row r="79" spans="2:7" x14ac:dyDescent="0.2">
      <c r="C79" s="6"/>
    </row>
    <row r="80" spans="2:7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</sheetData>
  <autoFilter ref="B4:F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>
      <selection activeCell="L26" sqref="L2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N227"/>
  <sheetViews>
    <sheetView topLeftCell="A19" workbookViewId="0">
      <selection activeCell="O17" sqref="O17"/>
    </sheetView>
  </sheetViews>
  <sheetFormatPr defaultColWidth="9.109375" defaultRowHeight="11.4" x14ac:dyDescent="0.2"/>
  <cols>
    <col min="1" max="1" width="2" style="2" customWidth="1"/>
    <col min="2" max="2" width="18.88671875" style="2" customWidth="1"/>
    <col min="3" max="3" width="34.6640625" style="2" customWidth="1"/>
    <col min="4" max="4" width="19.33203125" style="2" customWidth="1"/>
    <col min="5" max="5" width="24.21875" style="2" customWidth="1"/>
    <col min="6" max="6" width="9.6640625" style="2" bestFit="1" customWidth="1"/>
    <col min="7" max="8" width="9.109375" style="2"/>
    <col min="9" max="9" width="1.88671875" style="2" customWidth="1"/>
    <col min="10" max="10" width="19.6640625" style="2" bestFit="1" customWidth="1"/>
    <col min="11" max="11" width="2" style="2" customWidth="1"/>
    <col min="12" max="16384" width="9.109375" style="2"/>
  </cols>
  <sheetData>
    <row r="1" spans="2:14" ht="15.6" x14ac:dyDescent="0.3">
      <c r="B1" s="3" t="s">
        <v>57</v>
      </c>
    </row>
    <row r="3" spans="2:14" ht="13.8" thickBot="1" x14ac:dyDescent="0.3">
      <c r="B3" s="23" t="s">
        <v>116</v>
      </c>
      <c r="C3" s="23" t="s">
        <v>112</v>
      </c>
      <c r="D3" s="23" t="s">
        <v>32</v>
      </c>
      <c r="E3" s="23" t="s">
        <v>113</v>
      </c>
      <c r="F3" s="23" t="s">
        <v>224</v>
      </c>
      <c r="G3" s="23" t="s">
        <v>225</v>
      </c>
      <c r="H3" s="23" t="s">
        <v>226</v>
      </c>
      <c r="I3" s="27"/>
      <c r="J3" s="26" t="s">
        <v>228</v>
      </c>
    </row>
    <row r="4" spans="2:14" ht="12" thickTop="1" x14ac:dyDescent="0.2">
      <c r="B4" s="17" t="s">
        <v>117</v>
      </c>
      <c r="C4" s="17" t="s">
        <v>66</v>
      </c>
      <c r="D4" s="17">
        <f>INDEX('1.1 FY2016'!$B$5:$F$61,MATCH($B4,'1.1 FY2016'!$G$5:$G$61,0),2)</f>
        <v>111111</v>
      </c>
      <c r="E4" s="17" t="str">
        <f>INDEX('1.1 FY2016'!$B$5:$F$61,MATCH($B4,'1.1 FY2016'!$G$5:$G$61,0),3)</f>
        <v>External</v>
      </c>
      <c r="F4" s="17">
        <f>-SUMIF('1.1 FY2016'!$G:$G,B4,'1.1 FY2016'!$E:$E)</f>
        <v>14500341</v>
      </c>
      <c r="G4" s="17">
        <f>-SUMIF('1.2 FY2017'!$G:$G,'2.1 Database'!B4,'1.2 FY2017'!$E:$E)</f>
        <v>15792898.75</v>
      </c>
      <c r="H4" s="17">
        <f>-SUMIF('1.3 FY2018'!$G:$G,'2.1 Database'!B4,'1.3 FY2018'!$E:$E)</f>
        <v>14431341</v>
      </c>
      <c r="I4" s="17"/>
      <c r="J4" s="2" t="s">
        <v>229</v>
      </c>
      <c r="L4" s="2">
        <f>COUNTIF('2.2 P&amp;L statement'!$B$4:$B$24,'2.1 Database'!$J4)</f>
        <v>1</v>
      </c>
    </row>
    <row r="5" spans="2:14" x14ac:dyDescent="0.2">
      <c r="B5" s="17" t="s">
        <v>118</v>
      </c>
      <c r="C5" s="17" t="s">
        <v>67</v>
      </c>
      <c r="D5" s="17">
        <f>INDEX('1.1 FY2016'!$B$5:$F$61,MATCH($B5,'1.1 FY2016'!$G$5:$G$61,0),2)</f>
        <v>111111</v>
      </c>
      <c r="E5" s="17" t="str">
        <f>INDEX('1.1 FY2016'!$B$5:$F$61,MATCH($B5,'1.1 FY2016'!$G$5:$G$61,0),3)</f>
        <v>External</v>
      </c>
      <c r="F5" s="17">
        <f>-SUMIF('1.1 FY2016'!$G:$G,B5,'1.1 FY2016'!$E:$E)</f>
        <v>4794856.1919999998</v>
      </c>
      <c r="G5" s="17">
        <f>-SUMIF('1.2 FY2017'!$G:$G,'2.1 Database'!B5,'1.2 FY2017'!$E:$E)</f>
        <v>6960217.6449999996</v>
      </c>
      <c r="H5" s="17">
        <f>-SUMIF('1.3 FY2018'!$G:$G,'2.1 Database'!B5,'1.3 FY2018'!$E:$E)</f>
        <v>6373617.5140000004</v>
      </c>
      <c r="I5" s="17"/>
      <c r="J5" s="2" t="s">
        <v>67</v>
      </c>
      <c r="L5" s="2">
        <f>COUNTIF('2.2 P&amp;L statement'!$B$4:$B$24,'2.1 Database'!$J5)</f>
        <v>1</v>
      </c>
    </row>
    <row r="6" spans="2:14" x14ac:dyDescent="0.2">
      <c r="B6" s="17" t="s">
        <v>119</v>
      </c>
      <c r="C6" s="17" t="s">
        <v>68</v>
      </c>
      <c r="D6" s="17">
        <f>INDEX('1.1 FY2016'!$B$5:$F$61,MATCH($B6,'1.1 FY2016'!$G$5:$G$61,0),2)</f>
        <v>1009</v>
      </c>
      <c r="E6" s="17" t="str">
        <f>INDEX('1.1 FY2016'!$B$5:$F$61,MATCH($B6,'1.1 FY2016'!$G$5:$G$61,0),3)</f>
        <v>Green Ventures Ltd</v>
      </c>
      <c r="F6" s="17">
        <f>-SUMIF('1.1 FY2016'!$G:$G,B6,'1.1 FY2016'!$E:$E)</f>
        <v>154890.4</v>
      </c>
      <c r="G6" s="17">
        <f>-SUMIF('1.2 FY2017'!$G:$G,'2.1 Database'!B6,'1.2 FY2017'!$E:$E)</f>
        <v>0</v>
      </c>
      <c r="H6" s="17">
        <f>-SUMIF('1.3 FY2018'!$G:$G,'2.1 Database'!B6,'1.3 FY2018'!$E:$E)</f>
        <v>0</v>
      </c>
      <c r="I6" s="17"/>
      <c r="J6" s="2" t="s">
        <v>68</v>
      </c>
      <c r="L6" s="2">
        <f>COUNTIF('2.2 P&amp;L statement'!$B$4:$B$24,'2.1 Database'!$J6)</f>
        <v>1</v>
      </c>
    </row>
    <row r="7" spans="2:14" x14ac:dyDescent="0.2">
      <c r="B7" s="17" t="s">
        <v>120</v>
      </c>
      <c r="C7" s="17" t="s">
        <v>68</v>
      </c>
      <c r="D7" s="17">
        <f>INDEX('1.1 FY2016'!$B$5:$F$61,MATCH($B7,'1.1 FY2016'!$G$5:$G$61,0),2)</f>
        <v>1007</v>
      </c>
      <c r="E7" s="17" t="str">
        <f>INDEX('1.1 FY2016'!$B$5:$F$61,MATCH($B7,'1.1 FY2016'!$G$5:$G$61,0),3)</f>
        <v>Generco Sunshine JSC</v>
      </c>
      <c r="F7" s="17">
        <f>-SUMIF('1.1 FY2016'!$G:$G,B7,'1.1 FY2016'!$E:$E)</f>
        <v>1180894.0520000001</v>
      </c>
      <c r="G7" s="17">
        <f>-SUMIF('1.2 FY2017'!$G:$G,'2.1 Database'!B7,'1.2 FY2017'!$E:$E)</f>
        <v>89234.880000000005</v>
      </c>
      <c r="H7" s="17">
        <f>-SUMIF('1.3 FY2018'!$G:$G,'2.1 Database'!B7,'1.3 FY2018'!$E:$E)</f>
        <v>0</v>
      </c>
      <c r="I7" s="17"/>
      <c r="J7" s="2" t="s">
        <v>68</v>
      </c>
      <c r="L7" s="2">
        <f>COUNTIF('2.2 P&amp;L statement'!$B$4:$B$24,'2.1 Database'!$J7)</f>
        <v>1</v>
      </c>
    </row>
    <row r="8" spans="2:14" x14ac:dyDescent="0.2">
      <c r="B8" s="17" t="s">
        <v>121</v>
      </c>
      <c r="C8" s="17" t="s">
        <v>68</v>
      </c>
      <c r="D8" s="17">
        <f>INDEX('1.1 FY2016'!$B$5:$F$61,MATCH($B8,'1.1 FY2016'!$G$5:$G$61,0),2)</f>
        <v>1008</v>
      </c>
      <c r="E8" s="17" t="str">
        <f>INDEX('1.1 FY2016'!$B$5:$F$61,MATCH($B8,'1.1 FY2016'!$G$5:$G$61,0),3)</f>
        <v>Greenco Ltd</v>
      </c>
      <c r="F8" s="17">
        <f>-SUMIF('1.1 FY2016'!$G:$G,B8,'1.1 FY2016'!$E:$E)</f>
        <v>793079.51199999999</v>
      </c>
      <c r="G8" s="17">
        <f>-SUMIF('1.2 FY2017'!$G:$G,'2.1 Database'!B8,'1.2 FY2017'!$E:$E)</f>
        <v>26173</v>
      </c>
      <c r="H8" s="17">
        <f>-SUMIF('1.3 FY2018'!$G:$G,'2.1 Database'!B8,'1.3 FY2018'!$E:$E)</f>
        <v>0</v>
      </c>
      <c r="I8" s="17"/>
      <c r="J8" s="2" t="s">
        <v>68</v>
      </c>
      <c r="L8" s="2">
        <f>COUNTIF('2.2 P&amp;L statement'!$B$4:$B$24,'2.1 Database'!$J8)</f>
        <v>1</v>
      </c>
    </row>
    <row r="9" spans="2:14" x14ac:dyDescent="0.2">
      <c r="B9" s="17" t="s">
        <v>122</v>
      </c>
      <c r="C9" s="17" t="s">
        <v>68</v>
      </c>
      <c r="D9" s="17">
        <f>INDEX('1.1 FY2016'!$B$5:$F$61,MATCH($B9,'1.1 FY2016'!$G$5:$G$61,0),2)</f>
        <v>111101</v>
      </c>
      <c r="E9" s="17" t="str">
        <f>INDEX('1.1 FY2016'!$B$5:$F$61,MATCH($B9,'1.1 FY2016'!$G$5:$G$61,0),3)</f>
        <v>Not assigned</v>
      </c>
      <c r="F9" s="17">
        <f>-SUMIF('1.1 FY2016'!$G:$G,B9,'1.1 FY2016'!$E:$E)</f>
        <v>2277197.6</v>
      </c>
      <c r="G9" s="17">
        <f>-SUMIF('1.2 FY2017'!$G:$G,'2.1 Database'!B9,'1.2 FY2017'!$E:$E)</f>
        <v>209401.92</v>
      </c>
      <c r="H9" s="17">
        <f>-SUMIF('1.3 FY2018'!$G:$G,'2.1 Database'!B9,'1.3 FY2018'!$E:$E)</f>
        <v>0</v>
      </c>
      <c r="I9" s="17"/>
      <c r="J9" s="2" t="s">
        <v>68</v>
      </c>
      <c r="L9" s="2">
        <f>COUNTIF('2.2 P&amp;L statement'!$B$4:$B$24,'2.1 Database'!$J9)</f>
        <v>1</v>
      </c>
      <c r="N9" s="2" t="s">
        <v>264</v>
      </c>
    </row>
    <row r="10" spans="2:14" x14ac:dyDescent="0.2">
      <c r="B10" s="17" t="s">
        <v>123</v>
      </c>
      <c r="C10" s="17" t="s">
        <v>101</v>
      </c>
      <c r="D10" s="17">
        <f>INDEX('1.1 FY2016'!$B$5:$F$61,MATCH($B10,'1.1 FY2016'!$G$5:$G$61,0),2)</f>
        <v>111111</v>
      </c>
      <c r="E10" s="17" t="str">
        <f>INDEX('1.1 FY2016'!$B$5:$F$61,MATCH($B10,'1.1 FY2016'!$G$5:$G$61,0),3)</f>
        <v>External</v>
      </c>
      <c r="F10" s="17">
        <f>-SUMIF('1.1 FY2016'!$G:$G,B10,'1.1 FY2016'!$E:$E)</f>
        <v>-4428911.7640000004</v>
      </c>
      <c r="G10" s="17">
        <f>-SUMIF('1.2 FY2017'!$G:$G,'2.1 Database'!B10,'1.2 FY2017'!$E:$E)</f>
        <v>-5463188.8250000002</v>
      </c>
      <c r="H10" s="17">
        <f>-SUMIF('1.3 FY2018'!$G:$G,'2.1 Database'!B10,'1.3 FY2018'!$E:$E)</f>
        <v>-5674152.0669999998</v>
      </c>
      <c r="I10" s="17"/>
      <c r="J10" s="2" t="s">
        <v>101</v>
      </c>
      <c r="L10" s="2">
        <f>COUNTIF('2.2 P&amp;L statement'!$B$4:$B$24,'2.1 Database'!$J10)</f>
        <v>1</v>
      </c>
    </row>
    <row r="11" spans="2:14" x14ac:dyDescent="0.2">
      <c r="B11" s="17" t="s">
        <v>124</v>
      </c>
      <c r="C11" s="17" t="s">
        <v>70</v>
      </c>
      <c r="D11" s="17">
        <f>INDEX('1.1 FY2016'!$B$5:$F$61,MATCH($B11,'1.1 FY2016'!$G$5:$G$61,0),2)</f>
        <v>111111</v>
      </c>
      <c r="E11" s="17" t="str">
        <f>INDEX('1.1 FY2016'!$B$5:$F$61,MATCH($B11,'1.1 FY2016'!$G$5:$G$61,0),3)</f>
        <v>External</v>
      </c>
      <c r="F11" s="17">
        <f>-SUMIF('1.1 FY2016'!$G:$G,B11,'1.1 FY2016'!$E:$E)</f>
        <v>-16977.628000000001</v>
      </c>
      <c r="G11" s="17">
        <f>-SUMIF('1.2 FY2017'!$G:$G,'2.1 Database'!B11,'1.2 FY2017'!$E:$E)</f>
        <v>-343675</v>
      </c>
      <c r="H11" s="17">
        <f>-SUMIF('1.3 FY2018'!$G:$G,'2.1 Database'!B11,'1.3 FY2018'!$E:$E)</f>
        <v>-350370.99399999995</v>
      </c>
      <c r="I11" s="17"/>
      <c r="J11" s="2" t="s">
        <v>230</v>
      </c>
      <c r="L11" s="2">
        <f>COUNTIF('2.2 P&amp;L statement'!$B$4:$B$24,'2.1 Database'!$J11)</f>
        <v>1</v>
      </c>
    </row>
    <row r="12" spans="2:14" x14ac:dyDescent="0.2">
      <c r="B12" s="17" t="s">
        <v>125</v>
      </c>
      <c r="C12" s="17" t="s">
        <v>69</v>
      </c>
      <c r="D12" s="17">
        <f>INDEX('1.1 FY2016'!$B$5:$F$61,MATCH($B12,'1.1 FY2016'!$G$5:$G$61,0),2)</f>
        <v>88</v>
      </c>
      <c r="E12" s="17" t="str">
        <f>INDEX('1.1 FY2016'!$B$5:$F$61,MATCH($B12,'1.1 FY2016'!$G$5:$G$61,0),3)</f>
        <v>Generco Ltd</v>
      </c>
      <c r="F12" s="17">
        <f>-SUMIF('1.1 FY2016'!$G:$G,B12,'1.1 FY2016'!$E:$E)</f>
        <v>-2245437.54</v>
      </c>
      <c r="G12" s="17">
        <f>-SUMIF('1.2 FY2017'!$G:$G,'2.1 Database'!B12,'1.2 FY2017'!$E:$E)</f>
        <v>-1980162.23</v>
      </c>
      <c r="H12" s="17">
        <f>-SUMIF('1.3 FY2018'!$G:$G,'2.1 Database'!B12,'1.3 FY2018'!$E:$E)</f>
        <v>-3116017.1540000001</v>
      </c>
      <c r="I12" s="17"/>
      <c r="J12" s="2" t="s">
        <v>230</v>
      </c>
      <c r="L12" s="2">
        <f>COUNTIF('2.2 P&amp;L statement'!$B$4:$B$24,'2.1 Database'!$J12)</f>
        <v>1</v>
      </c>
    </row>
    <row r="13" spans="2:14" x14ac:dyDescent="0.2">
      <c r="B13" s="17" t="s">
        <v>126</v>
      </c>
      <c r="C13" s="17" t="s">
        <v>69</v>
      </c>
      <c r="D13" s="17">
        <f>INDEX('1.1 FY2016'!$B$5:$F$61,MATCH($B13,'1.1 FY2016'!$G$5:$G$61,0),2)</f>
        <v>111111</v>
      </c>
      <c r="E13" s="17" t="str">
        <f>INDEX('1.1 FY2016'!$B$5:$F$61,MATCH($B13,'1.1 FY2016'!$G$5:$G$61,0),3)</f>
        <v>External</v>
      </c>
      <c r="F13" s="17">
        <f>-SUMIF('1.1 FY2016'!$G:$G,B13,'1.1 FY2016'!$E:$E)</f>
        <v>-16605.634000000002</v>
      </c>
      <c r="G13" s="17">
        <f>-SUMIF('1.2 FY2017'!$G:$G,'2.1 Database'!B13,'1.2 FY2017'!$E:$E)</f>
        <v>-27148.625</v>
      </c>
      <c r="H13" s="17">
        <f>-SUMIF('1.3 FY2018'!$G:$G,'2.1 Database'!B13,'1.3 FY2018'!$E:$E)</f>
        <v>-9783.7069999999985</v>
      </c>
      <c r="I13" s="17"/>
      <c r="J13" s="2" t="s">
        <v>230</v>
      </c>
      <c r="L13" s="2">
        <f>COUNTIF('2.2 P&amp;L statement'!$B$4:$B$24,'2.1 Database'!$J13)</f>
        <v>1</v>
      </c>
    </row>
    <row r="14" spans="2:14" x14ac:dyDescent="0.2">
      <c r="B14" s="17" t="s">
        <v>127</v>
      </c>
      <c r="C14" s="17" t="s">
        <v>2</v>
      </c>
      <c r="D14" s="17">
        <f>INDEX('1.1 FY2016'!$B$5:$F$61,MATCH($B14,'1.1 FY2016'!$G$5:$G$61,0),2)</f>
        <v>111111</v>
      </c>
      <c r="E14" s="17" t="str">
        <f>INDEX('1.1 FY2016'!$B$5:$F$61,MATCH($B14,'1.1 FY2016'!$G$5:$G$61,0),3)</f>
        <v>External</v>
      </c>
      <c r="F14" s="17">
        <f>-SUMIF('1.1 FY2016'!$G:$G,B14,'1.1 FY2016'!$E:$E)</f>
        <v>-4683394.0460000001</v>
      </c>
      <c r="G14" s="17">
        <f>-SUMIF('1.2 FY2017'!$G:$G,'2.1 Database'!B14,'1.2 FY2017'!$E:$E)</f>
        <v>-5507141.0549999997</v>
      </c>
      <c r="H14" s="17">
        <f>-SUMIF('1.3 FY2018'!$G:$G,'2.1 Database'!B14,'1.3 FY2018'!$E:$E)</f>
        <v>-3982699.5329999998</v>
      </c>
      <c r="I14" s="17"/>
      <c r="J14" s="2" t="s">
        <v>231</v>
      </c>
      <c r="L14" s="2">
        <f>COUNTIF('2.2 P&amp;L statement'!$B$4:$B$24,'2.1 Database'!$J14)</f>
        <v>1</v>
      </c>
    </row>
    <row r="15" spans="2:14" x14ac:dyDescent="0.2">
      <c r="B15" s="17" t="s">
        <v>128</v>
      </c>
      <c r="C15" s="17" t="s">
        <v>71</v>
      </c>
      <c r="D15" s="17">
        <f>INDEX('1.1 FY2016'!$B$5:$F$61,MATCH($B15,'1.1 FY2016'!$G$5:$G$61,0),2)</f>
        <v>111101</v>
      </c>
      <c r="E15" s="17" t="str">
        <f>INDEX('1.1 FY2016'!$B$5:$F$61,MATCH($B15,'1.1 FY2016'!$G$5:$G$61,0),3)</f>
        <v>Not assigned</v>
      </c>
      <c r="F15" s="17">
        <f>-SUMIF('1.1 FY2016'!$G:$G,B15,'1.1 FY2016'!$E:$E)</f>
        <v>-1143051.5760000001</v>
      </c>
      <c r="G15" s="17">
        <f>-SUMIF('1.2 FY2017'!$G:$G,'2.1 Database'!B15,'1.2 FY2017'!$E:$E)</f>
        <v>-2057298.04</v>
      </c>
      <c r="H15" s="17">
        <f>-SUMIF('1.3 FY2018'!$G:$G,'2.1 Database'!B15,'1.3 FY2018'!$E:$E)</f>
        <v>-1709688.6429999997</v>
      </c>
      <c r="I15" s="17"/>
      <c r="J15" s="2" t="s">
        <v>231</v>
      </c>
      <c r="L15" s="2">
        <f>COUNTIF('2.2 P&amp;L statement'!$B$4:$B$24,'2.1 Database'!$J15)</f>
        <v>1</v>
      </c>
    </row>
    <row r="16" spans="2:14" x14ac:dyDescent="0.2">
      <c r="B16" s="17" t="s">
        <v>129</v>
      </c>
      <c r="C16" s="17" t="s">
        <v>71</v>
      </c>
      <c r="D16" s="17">
        <f>INDEX('1.1 FY2016'!$B$5:$F$61,MATCH($B16,'1.1 FY2016'!$G$5:$G$61,0),2)</f>
        <v>88</v>
      </c>
      <c r="E16" s="17" t="str">
        <f>INDEX('1.1 FY2016'!$B$5:$F$61,MATCH($B16,'1.1 FY2016'!$G$5:$G$61,0),3)</f>
        <v>Generco Ltd</v>
      </c>
      <c r="F16" s="17">
        <f>-SUMIF('1.1 FY2016'!$G:$G,B16,'1.1 FY2016'!$E:$E)</f>
        <v>-239379.61800000002</v>
      </c>
      <c r="G16" s="17">
        <f>-SUMIF('1.2 FY2017'!$G:$G,'2.1 Database'!B16,'1.2 FY2017'!$E:$E)</f>
        <v>0</v>
      </c>
      <c r="H16" s="17">
        <f>-SUMIF('1.3 FY2018'!$G:$G,'2.1 Database'!B16,'1.3 FY2018'!$E:$E)</f>
        <v>0</v>
      </c>
      <c r="I16" s="17"/>
      <c r="J16" s="2" t="s">
        <v>231</v>
      </c>
      <c r="L16" s="2">
        <f>COUNTIF('2.2 P&amp;L statement'!$B$4:$B$24,'2.1 Database'!$J16)</f>
        <v>1</v>
      </c>
    </row>
    <row r="17" spans="2:12" x14ac:dyDescent="0.2">
      <c r="B17" s="17" t="s">
        <v>130</v>
      </c>
      <c r="C17" s="17" t="s">
        <v>72</v>
      </c>
      <c r="D17" s="17">
        <f>INDEX('1.1 FY2016'!$B$5:$F$61,MATCH($B17,'1.1 FY2016'!$G$5:$G$61,0),2)</f>
        <v>111101</v>
      </c>
      <c r="E17" s="17" t="str">
        <f>INDEX('1.1 FY2016'!$B$5:$F$61,MATCH($B17,'1.1 FY2016'!$G$5:$G$61,0),3)</f>
        <v>Not assigned</v>
      </c>
      <c r="F17" s="17">
        <f>-SUMIF('1.1 FY2016'!$G:$G,B17,'1.1 FY2016'!$E:$E)</f>
        <v>-104913.8</v>
      </c>
      <c r="G17" s="17">
        <f>-SUMIF('1.2 FY2017'!$G:$G,'2.1 Database'!B17,'1.2 FY2017'!$E:$E)</f>
        <v>-500500</v>
      </c>
      <c r="H17" s="17">
        <f>-SUMIF('1.3 FY2018'!$G:$G,'2.1 Database'!B17,'1.3 FY2018'!$E:$E)</f>
        <v>-143500</v>
      </c>
      <c r="I17" s="17"/>
      <c r="J17" s="2" t="s">
        <v>231</v>
      </c>
      <c r="L17" s="2">
        <f>COUNTIF('2.2 P&amp;L statement'!$B$4:$B$24,'2.1 Database'!$J17)</f>
        <v>1</v>
      </c>
    </row>
    <row r="18" spans="2:12" x14ac:dyDescent="0.2">
      <c r="B18" s="17" t="s">
        <v>131</v>
      </c>
      <c r="C18" s="17" t="s">
        <v>73</v>
      </c>
      <c r="D18" s="17">
        <f>INDEX('1.1 FY2016'!$B$5:$F$61,MATCH($B18,'1.1 FY2016'!$G$5:$G$61,0),2)</f>
        <v>111101</v>
      </c>
      <c r="E18" s="17" t="str">
        <f>INDEX('1.1 FY2016'!$B$5:$F$61,MATCH($B18,'1.1 FY2016'!$G$5:$G$61,0),3)</f>
        <v>Not assigned</v>
      </c>
      <c r="F18" s="17">
        <f>-SUMIF('1.1 FY2016'!$G:$G,B18,'1.1 FY2016'!$E:$E)</f>
        <v>-2003262.2180000001</v>
      </c>
      <c r="G18" s="17">
        <f>-SUMIF('1.2 FY2017'!$G:$G,'2.1 Database'!B18,'1.2 FY2017'!$E:$E)</f>
        <v>-1897676.87</v>
      </c>
      <c r="H18" s="17">
        <f>-SUMIF('1.3 FY2018'!$G:$G,'2.1 Database'!B18,'1.3 FY2018'!$E:$E)</f>
        <v>-1875768.159</v>
      </c>
      <c r="I18" s="17"/>
      <c r="J18" s="2" t="s">
        <v>73</v>
      </c>
      <c r="L18" s="2">
        <f>COUNTIF('2.2 P&amp;L statement'!$B$4:$B$24,'2.1 Database'!$J18)</f>
        <v>1</v>
      </c>
    </row>
    <row r="19" spans="2:12" x14ac:dyDescent="0.2">
      <c r="B19" s="17" t="s">
        <v>132</v>
      </c>
      <c r="C19" s="17" t="s">
        <v>73</v>
      </c>
      <c r="D19" s="17">
        <f>INDEX('1.1 FY2016'!$B$5:$F$61,MATCH($B19,'1.1 FY2016'!$G$5:$G$61,0),2)</f>
        <v>1</v>
      </c>
      <c r="E19" s="17" t="str">
        <f>INDEX('1.1 FY2016'!$B$5:$F$61,MATCH($B19,'1.1 FY2016'!$G$5:$G$61,0),3)</f>
        <v>Not assigned</v>
      </c>
      <c r="F19" s="17">
        <f>-SUMIF('1.1 FY2016'!$G:$G,B19,'1.1 FY2016'!$E:$E)</f>
        <v>-41981.296000000002</v>
      </c>
      <c r="G19" s="17">
        <f>-SUMIF('1.2 FY2017'!$G:$G,'2.1 Database'!B19,'1.2 FY2017'!$E:$E)</f>
        <v>0</v>
      </c>
      <c r="H19" s="17">
        <f>-SUMIF('1.3 FY2018'!$G:$G,'2.1 Database'!B19,'1.3 FY2018'!$E:$E)</f>
        <v>0</v>
      </c>
      <c r="I19" s="17"/>
      <c r="J19" s="2" t="s">
        <v>73</v>
      </c>
      <c r="L19" s="2">
        <f>COUNTIF('2.2 P&amp;L statement'!$B$4:$B$24,'2.1 Database'!$J19)</f>
        <v>1</v>
      </c>
    </row>
    <row r="20" spans="2:12" x14ac:dyDescent="0.2">
      <c r="B20" s="17" t="s">
        <v>133</v>
      </c>
      <c r="C20" s="17" t="s">
        <v>74</v>
      </c>
      <c r="D20" s="17" t="str">
        <f>INDEX('1.1 FY2016'!$B$5:$F$61,MATCH($B20,'1.1 FY2016'!$G$5:$G$61,0),2)</f>
        <v>1</v>
      </c>
      <c r="E20" s="17" t="str">
        <f>INDEX('1.1 FY2016'!$B$5:$F$61,MATCH($B20,'1.1 FY2016'!$G$5:$G$61,0),3)</f>
        <v>Greeny Ltd</v>
      </c>
      <c r="F20" s="17">
        <f>-SUMIF('1.1 FY2016'!$G:$G,B20,'1.1 FY2016'!$E:$E)</f>
        <v>2156147.4</v>
      </c>
      <c r="G20" s="17">
        <f>-SUMIF('1.2 FY2017'!$G:$G,'2.1 Database'!B20,'1.2 FY2017'!$E:$E)</f>
        <v>1643711.145</v>
      </c>
      <c r="H20" s="17">
        <f>-SUMIF('1.3 FY2018'!$G:$G,'2.1 Database'!B20,'1.3 FY2018'!$E:$E)</f>
        <v>1418521.358</v>
      </c>
      <c r="I20" s="17"/>
      <c r="J20" s="2" t="s">
        <v>232</v>
      </c>
      <c r="L20" s="2">
        <f>COUNTIF('2.2 P&amp;L statement'!$B$4:$B$24,'2.1 Database'!$J20)</f>
        <v>1</v>
      </c>
    </row>
    <row r="21" spans="2:12" x14ac:dyDescent="0.2">
      <c r="B21" s="17" t="s">
        <v>134</v>
      </c>
      <c r="C21" s="17" t="s">
        <v>74</v>
      </c>
      <c r="D21" s="17">
        <f>INDEX('1.1 FY2016'!$B$5:$F$61,MATCH($B21,'1.1 FY2016'!$G$5:$G$61,0),2)</f>
        <v>14</v>
      </c>
      <c r="E21" s="17" t="str">
        <f>INDEX('1.1 FY2016'!$B$5:$F$61,MATCH($B21,'1.1 FY2016'!$G$5:$G$61,0),3)</f>
        <v>Generco Cosmetics Ltd</v>
      </c>
      <c r="F21" s="17">
        <f>-SUMIF('1.1 FY2016'!$G:$G,B21,'1.1 FY2016'!$E:$E)</f>
        <v>291428.55199999997</v>
      </c>
      <c r="G21" s="17">
        <f>-SUMIF('1.2 FY2017'!$G:$G,'2.1 Database'!B21,'1.2 FY2017'!$E:$E)</f>
        <v>0</v>
      </c>
      <c r="H21" s="17">
        <f>-SUMIF('1.3 FY2018'!$G:$G,'2.1 Database'!B21,'1.3 FY2018'!$E:$E)</f>
        <v>0</v>
      </c>
      <c r="I21" s="17"/>
      <c r="J21" s="2" t="s">
        <v>232</v>
      </c>
      <c r="L21" s="2">
        <f>COUNTIF('2.2 P&amp;L statement'!$B$4:$B$24,'2.1 Database'!$J21)</f>
        <v>1</v>
      </c>
    </row>
    <row r="22" spans="2:12" x14ac:dyDescent="0.2">
      <c r="B22" s="17" t="s">
        <v>135</v>
      </c>
      <c r="C22" s="17" t="s">
        <v>74</v>
      </c>
      <c r="D22" s="17">
        <f>INDEX('1.1 FY2016'!$B$5:$F$61,MATCH($B22,'1.1 FY2016'!$G$5:$G$61,0),2)</f>
        <v>1037</v>
      </c>
      <c r="E22" s="17" t="str">
        <f>INDEX('1.1 FY2016'!$B$5:$F$61,MATCH($B22,'1.1 FY2016'!$G$5:$G$61,0),3)</f>
        <v>Generco Canada JSC</v>
      </c>
      <c r="F22" s="17">
        <f>-SUMIF('1.1 FY2016'!$G:$G,B22,'1.1 FY2016'!$E:$E)</f>
        <v>0</v>
      </c>
      <c r="G22" s="17">
        <f>-SUMIF('1.2 FY2017'!$G:$G,'2.1 Database'!B22,'1.2 FY2017'!$E:$E)</f>
        <v>0</v>
      </c>
      <c r="H22" s="17">
        <f>-SUMIF('1.3 FY2018'!$G:$G,'2.1 Database'!B22,'1.3 FY2018'!$E:$E)</f>
        <v>0</v>
      </c>
      <c r="I22" s="17"/>
      <c r="J22" s="2" t="s">
        <v>232</v>
      </c>
      <c r="L22" s="2">
        <f>COUNTIF('2.2 P&amp;L statement'!$B$4:$B$24,'2.1 Database'!$J22)</f>
        <v>1</v>
      </c>
    </row>
    <row r="23" spans="2:12" x14ac:dyDescent="0.2">
      <c r="B23" s="17" t="s">
        <v>136</v>
      </c>
      <c r="C23" s="17" t="s">
        <v>74</v>
      </c>
      <c r="D23" s="17" t="str">
        <f>INDEX('1.1 FY2016'!$B$5:$F$61,MATCH($B23,'1.1 FY2016'!$G$5:$G$61,0),2)</f>
        <v>1087</v>
      </c>
      <c r="E23" s="17" t="str">
        <f>INDEX('1.1 FY2016'!$B$5:$F$61,MATCH($B23,'1.1 FY2016'!$G$5:$G$61,0),3)</f>
        <v>Gener Beauty GmbH</v>
      </c>
      <c r="F23" s="17">
        <f>-SUMIF('1.1 FY2016'!$G:$G,B23,'1.1 FY2016'!$E:$E)</f>
        <v>33736.5</v>
      </c>
      <c r="G23" s="17">
        <f>-SUMIF('1.2 FY2017'!$G:$G,'2.1 Database'!B23,'1.2 FY2017'!$E:$E)</f>
        <v>0</v>
      </c>
      <c r="H23" s="17">
        <f>-SUMIF('1.3 FY2018'!$G:$G,'2.1 Database'!B23,'1.3 FY2018'!$E:$E)</f>
        <v>0</v>
      </c>
      <c r="I23" s="17"/>
      <c r="J23" s="2" t="s">
        <v>232</v>
      </c>
      <c r="L23" s="2">
        <f>COUNTIF('2.2 P&amp;L statement'!$B$4:$B$24,'2.1 Database'!$J23)</f>
        <v>1</v>
      </c>
    </row>
    <row r="24" spans="2:12" x14ac:dyDescent="0.2">
      <c r="B24" s="17" t="s">
        <v>137</v>
      </c>
      <c r="C24" s="17" t="s">
        <v>74</v>
      </c>
      <c r="D24" s="17">
        <f>INDEX('1.1 FY2016'!$B$5:$F$61,MATCH($B24,'1.1 FY2016'!$G$5:$G$61,0),2)</f>
        <v>1009</v>
      </c>
      <c r="E24" s="17" t="str">
        <f>INDEX('1.1 FY2016'!$B$5:$F$61,MATCH($B24,'1.1 FY2016'!$G$5:$G$61,0),3)</f>
        <v>Green Ventures Ltd</v>
      </c>
      <c r="F24" s="17">
        <f>-SUMIF('1.1 FY2016'!$G:$G,B24,'1.1 FY2016'!$E:$E)</f>
        <v>0</v>
      </c>
      <c r="G24" s="17">
        <f>-SUMIF('1.2 FY2017'!$G:$G,'2.1 Database'!B24,'1.2 FY2017'!$E:$E)</f>
        <v>0</v>
      </c>
      <c r="H24" s="17">
        <f>-SUMIF('1.3 FY2018'!$G:$G,'2.1 Database'!B24,'1.3 FY2018'!$E:$E)</f>
        <v>0</v>
      </c>
      <c r="I24" s="17"/>
      <c r="J24" s="2" t="s">
        <v>232</v>
      </c>
      <c r="L24" s="2">
        <f>COUNTIF('2.2 P&amp;L statement'!$B$4:$B$24,'2.1 Database'!$J24)</f>
        <v>1</v>
      </c>
    </row>
    <row r="25" spans="2:12" x14ac:dyDescent="0.2">
      <c r="B25" s="17" t="s">
        <v>138</v>
      </c>
      <c r="C25" s="17" t="s">
        <v>74</v>
      </c>
      <c r="D25" s="17">
        <f>INDEX('1.1 FY2016'!$B$5:$F$61,MATCH($B25,'1.1 FY2016'!$G$5:$G$61,0),2)</f>
        <v>1007</v>
      </c>
      <c r="E25" s="17" t="str">
        <f>INDEX('1.1 FY2016'!$B$5:$F$61,MATCH($B25,'1.1 FY2016'!$G$5:$G$61,0),3)</f>
        <v>Generco Sunshine JSC</v>
      </c>
      <c r="F25" s="17">
        <f>-SUMIF('1.1 FY2016'!$G:$G,B25,'1.1 FY2016'!$E:$E)</f>
        <v>0</v>
      </c>
      <c r="G25" s="17">
        <f>-SUMIF('1.2 FY2017'!$G:$G,'2.1 Database'!B25,'1.2 FY2017'!$E:$E)</f>
        <v>0</v>
      </c>
      <c r="H25" s="17">
        <f>-SUMIF('1.3 FY2018'!$G:$G,'2.1 Database'!B25,'1.3 FY2018'!$E:$E)</f>
        <v>0</v>
      </c>
      <c r="I25" s="17"/>
      <c r="J25" s="2" t="s">
        <v>232</v>
      </c>
      <c r="L25" s="2">
        <f>COUNTIF('2.2 P&amp;L statement'!$B$4:$B$24,'2.1 Database'!$J25)</f>
        <v>1</v>
      </c>
    </row>
    <row r="26" spans="2:12" x14ac:dyDescent="0.2">
      <c r="B26" s="17" t="s">
        <v>139</v>
      </c>
      <c r="C26" s="17" t="s">
        <v>74</v>
      </c>
      <c r="D26" s="17">
        <f>INDEX('1.1 FY2016'!$B$5:$F$61,MATCH($B26,'1.1 FY2016'!$G$5:$G$61,0),2)</f>
        <v>1008</v>
      </c>
      <c r="E26" s="17" t="str">
        <f>INDEX('1.1 FY2016'!$B$5:$F$61,MATCH($B26,'1.1 FY2016'!$G$5:$G$61,0),3)</f>
        <v>Greenco Ltd</v>
      </c>
      <c r="F26" s="17">
        <f>-SUMIF('1.1 FY2016'!$G:$G,B26,'1.1 FY2016'!$E:$E)</f>
        <v>0</v>
      </c>
      <c r="G26" s="17">
        <f>-SUMIF('1.2 FY2017'!$G:$G,'2.1 Database'!B26,'1.2 FY2017'!$E:$E)</f>
        <v>0</v>
      </c>
      <c r="H26" s="17">
        <f>-SUMIF('1.3 FY2018'!$G:$G,'2.1 Database'!B26,'1.3 FY2018'!$E:$E)</f>
        <v>0</v>
      </c>
      <c r="I26" s="17"/>
      <c r="J26" s="2" t="s">
        <v>232</v>
      </c>
      <c r="L26" s="2">
        <f>COUNTIF('2.2 P&amp;L statement'!$B$4:$B$24,'2.1 Database'!$J26)</f>
        <v>1</v>
      </c>
    </row>
    <row r="27" spans="2:12" x14ac:dyDescent="0.2">
      <c r="B27" s="17" t="s">
        <v>140</v>
      </c>
      <c r="C27" s="17" t="s">
        <v>74</v>
      </c>
      <c r="D27" s="17">
        <f>INDEX('1.1 FY2016'!$B$5:$F$61,MATCH($B27,'1.1 FY2016'!$G$5:$G$61,0),2)</f>
        <v>1240</v>
      </c>
      <c r="E27" s="17" t="str">
        <f>INDEX('1.1 FY2016'!$B$5:$F$61,MATCH($B27,'1.1 FY2016'!$G$5:$G$61,0),3)</f>
        <v xml:space="preserve">Generco UK </v>
      </c>
      <c r="F27" s="17">
        <f>-SUMIF('1.1 FY2016'!$G:$G,B27,'1.1 FY2016'!$E:$E)</f>
        <v>199600.4</v>
      </c>
      <c r="G27" s="17">
        <f>-SUMIF('1.2 FY2017'!$G:$G,'2.1 Database'!B27,'1.2 FY2017'!$E:$E)</f>
        <v>10461.36</v>
      </c>
      <c r="H27" s="17">
        <f>-SUMIF('1.3 FY2018'!$G:$G,'2.1 Database'!B27,'1.3 FY2018'!$E:$E)</f>
        <v>0</v>
      </c>
      <c r="I27" s="17"/>
      <c r="J27" s="2" t="s">
        <v>232</v>
      </c>
      <c r="L27" s="2">
        <f>COUNTIF('2.2 P&amp;L statement'!$B$4:$B$24,'2.1 Database'!$J27)</f>
        <v>1</v>
      </c>
    </row>
    <row r="28" spans="2:12" x14ac:dyDescent="0.2">
      <c r="B28" s="17" t="s">
        <v>141</v>
      </c>
      <c r="C28" s="17" t="s">
        <v>74</v>
      </c>
      <c r="D28" s="17">
        <f>INDEX('1.1 FY2016'!$B$5:$F$61,MATCH($B28,'1.1 FY2016'!$G$5:$G$61,0),2)</f>
        <v>111111</v>
      </c>
      <c r="E28" s="17" t="str">
        <f>INDEX('1.1 FY2016'!$B$5:$F$61,MATCH($B28,'1.1 FY2016'!$G$5:$G$61,0),3)</f>
        <v>External</v>
      </c>
      <c r="F28" s="17">
        <f>-SUMIF('1.1 FY2016'!$G:$G,B28,'1.1 FY2016'!$E:$E)</f>
        <v>539141.4</v>
      </c>
      <c r="G28" s="17">
        <f>-SUMIF('1.2 FY2017'!$G:$G,'2.1 Database'!B28,'1.2 FY2017'!$E:$E)</f>
        <v>6785.94</v>
      </c>
      <c r="H28" s="17">
        <f>-SUMIF('1.3 FY2018'!$G:$G,'2.1 Database'!B28,'1.3 FY2018'!$E:$E)</f>
        <v>902857.84299999999</v>
      </c>
      <c r="I28" s="17"/>
      <c r="J28" s="2" t="s">
        <v>232</v>
      </c>
      <c r="L28" s="2">
        <f>COUNTIF('2.2 P&amp;L statement'!$B$4:$B$24,'2.1 Database'!$J28)</f>
        <v>1</v>
      </c>
    </row>
    <row r="29" spans="2:12" x14ac:dyDescent="0.2">
      <c r="B29" s="17" t="s">
        <v>142</v>
      </c>
      <c r="C29" s="17" t="s">
        <v>75</v>
      </c>
      <c r="D29" s="17">
        <f>INDEX('1.1 FY2016'!$B$5:$F$61,MATCH($B29,'1.1 FY2016'!$G$5:$G$61,0),2)</f>
        <v>111111</v>
      </c>
      <c r="E29" s="17" t="str">
        <f>INDEX('1.1 FY2016'!$B$5:$F$61,MATCH($B29,'1.1 FY2016'!$G$5:$G$61,0),3)</f>
        <v>External</v>
      </c>
      <c r="F29" s="17">
        <f>-SUMIF('1.1 FY2016'!$G:$G,B29,'1.1 FY2016'!$E:$E)</f>
        <v>57.221999999999994</v>
      </c>
      <c r="G29" s="17">
        <f>-SUMIF('1.2 FY2017'!$G:$G,'2.1 Database'!B29,'1.2 FY2017'!$E:$E)</f>
        <v>-9793.84</v>
      </c>
      <c r="H29" s="17">
        <f>-SUMIF('1.3 FY2018'!$G:$G,'2.1 Database'!B29,'1.3 FY2018'!$E:$E)</f>
        <v>15872.001999999999</v>
      </c>
      <c r="I29" s="17"/>
      <c r="J29" s="2" t="s">
        <v>75</v>
      </c>
      <c r="L29" s="2">
        <f>COUNTIF('2.2 P&amp;L statement'!$B$4:$B$24,'2.1 Database'!$J29)</f>
        <v>1</v>
      </c>
    </row>
    <row r="30" spans="2:12" x14ac:dyDescent="0.2">
      <c r="B30" s="17" t="s">
        <v>143</v>
      </c>
      <c r="C30" s="17" t="s">
        <v>76</v>
      </c>
      <c r="D30" s="17">
        <f>INDEX('1.1 FY2016'!$B$5:$F$61,MATCH($B30,'1.1 FY2016'!$G$5:$G$61,0),2)</f>
        <v>111111</v>
      </c>
      <c r="E30" s="17" t="str">
        <f>INDEX('1.1 FY2016'!$B$5:$F$61,MATCH($B30,'1.1 FY2016'!$G$5:$G$61,0),3)</f>
        <v>External</v>
      </c>
      <c r="F30" s="17">
        <f>-SUMIF('1.1 FY2016'!$G:$G,B30,'1.1 FY2016'!$E:$E)</f>
        <v>-22314.879999999997</v>
      </c>
      <c r="G30" s="17">
        <f>-SUMIF('1.2 FY2017'!$G:$G,'2.1 Database'!B30,'1.2 FY2017'!$E:$E)</f>
        <v>-65947.7</v>
      </c>
      <c r="H30" s="17">
        <f>-SUMIF('1.3 FY2018'!$G:$G,'2.1 Database'!B30,'1.3 FY2018'!$E:$E)</f>
        <v>-57.317999999999998</v>
      </c>
      <c r="I30" s="17"/>
      <c r="J30" s="2" t="s">
        <v>230</v>
      </c>
      <c r="L30" s="2">
        <f>COUNTIF('2.2 P&amp;L statement'!$B$4:$B$24,'2.1 Database'!$J30)</f>
        <v>1</v>
      </c>
    </row>
    <row r="31" spans="2:12" x14ac:dyDescent="0.2">
      <c r="B31" s="17" t="s">
        <v>144</v>
      </c>
      <c r="C31" s="17" t="s">
        <v>77</v>
      </c>
      <c r="D31" s="17">
        <f>INDEX('1.1 FY2016'!$B$5:$F$61,MATCH($B31,'1.1 FY2016'!$G$5:$G$61,0),2)</f>
        <v>88</v>
      </c>
      <c r="E31" s="17" t="str">
        <f>INDEX('1.1 FY2016'!$B$5:$F$61,MATCH($B31,'1.1 FY2016'!$G$5:$G$61,0),3)</f>
        <v>Generco Ltd</v>
      </c>
      <c r="F31" s="17">
        <f>-SUMIF('1.1 FY2016'!$G:$G,B31,'1.1 FY2016'!$E:$E)</f>
        <v>-204000</v>
      </c>
      <c r="G31" s="17">
        <f>-SUMIF('1.2 FY2017'!$G:$G,'2.1 Database'!B31,'1.2 FY2017'!$E:$E)</f>
        <v>0</v>
      </c>
      <c r="H31" s="17">
        <f>-SUMIF('1.3 FY2018'!$G:$G,'2.1 Database'!B31,'1.3 FY2018'!$E:$E)</f>
        <v>0</v>
      </c>
      <c r="I31" s="17"/>
      <c r="J31" s="2" t="s">
        <v>230</v>
      </c>
      <c r="L31" s="2">
        <f>COUNTIF('2.2 P&amp;L statement'!$B$4:$B$24,'2.1 Database'!$J31)</f>
        <v>1</v>
      </c>
    </row>
    <row r="32" spans="2:12" x14ac:dyDescent="0.2">
      <c r="B32" s="17" t="s">
        <v>145</v>
      </c>
      <c r="C32" s="17" t="s">
        <v>77</v>
      </c>
      <c r="D32" s="17">
        <f>INDEX('1.1 FY2016'!$B$5:$F$61,MATCH($B32,'1.1 FY2016'!$G$5:$G$61,0),2)</f>
        <v>111111</v>
      </c>
      <c r="E32" s="17" t="str">
        <f>INDEX('1.1 FY2016'!$B$5:$F$61,MATCH($B32,'1.1 FY2016'!$G$5:$G$61,0),3)</f>
        <v>External</v>
      </c>
      <c r="F32" s="17">
        <f>-SUMIF('1.1 FY2016'!$G:$G,B32,'1.1 FY2016'!$E:$E)</f>
        <v>-138.41399999999999</v>
      </c>
      <c r="G32" s="17">
        <f>-SUMIF('1.2 FY2017'!$G:$G,'2.1 Database'!B32,'1.2 FY2017'!$E:$E)</f>
        <v>-5138.91</v>
      </c>
      <c r="H32" s="17">
        <f>-SUMIF('1.3 FY2018'!$G:$G,'2.1 Database'!B32,'1.3 FY2018'!$E:$E)</f>
        <v>-19198.66</v>
      </c>
      <c r="I32" s="17"/>
      <c r="J32" s="2" t="s">
        <v>230</v>
      </c>
      <c r="L32" s="2">
        <f>COUNTIF('2.2 P&amp;L statement'!$B$4:$B$24,'2.1 Database'!$J32)</f>
        <v>1</v>
      </c>
    </row>
    <row r="33" spans="2:12" x14ac:dyDescent="0.2">
      <c r="B33" s="17" t="s">
        <v>146</v>
      </c>
      <c r="C33" s="17" t="s">
        <v>78</v>
      </c>
      <c r="D33" s="17">
        <f>INDEX('1.1 FY2016'!$B$5:$F$61,MATCH($B33,'1.1 FY2016'!$G$5:$G$61,0),2)</f>
        <v>111111</v>
      </c>
      <c r="E33" s="17" t="str">
        <f>INDEX('1.1 FY2016'!$B$5:$F$61,MATCH($B33,'1.1 FY2016'!$G$5:$G$61,0),3)</f>
        <v>External</v>
      </c>
      <c r="F33" s="17">
        <f>-SUMIF('1.1 FY2016'!$G:$G,B33,'1.1 FY2016'!$E:$E)</f>
        <v>-1127445.872</v>
      </c>
      <c r="G33" s="17">
        <f>-SUMIF('1.2 FY2017'!$G:$G,'2.1 Database'!B33,'1.2 FY2017'!$E:$E)</f>
        <v>-1055381.4750000001</v>
      </c>
      <c r="H33" s="17">
        <f>-SUMIF('1.3 FY2018'!$G:$G,'2.1 Database'!B33,'1.3 FY2018'!$E:$E)</f>
        <v>172933.44899999999</v>
      </c>
      <c r="I33" s="17"/>
      <c r="J33" s="2" t="s">
        <v>78</v>
      </c>
      <c r="L33" s="2">
        <f>COUNTIF('2.2 P&amp;L statement'!$B$4:$B$24,'2.1 Database'!$J33)</f>
        <v>1</v>
      </c>
    </row>
    <row r="34" spans="2:12" x14ac:dyDescent="0.2">
      <c r="B34" s="17" t="s">
        <v>147</v>
      </c>
      <c r="C34" s="17" t="s">
        <v>79</v>
      </c>
      <c r="D34" s="17" t="str">
        <f>INDEX('1.1 FY2016'!$B$5:$F$61,MATCH($B34,'1.1 FY2016'!$G$5:$G$61,0),2)</f>
        <v>43</v>
      </c>
      <c r="E34" s="17" t="str">
        <f>INDEX('1.1 FY2016'!$B$5:$F$61,MATCH($B34,'1.1 FY2016'!$G$5:$G$61,0),3)</f>
        <v>Greeny France SL</v>
      </c>
      <c r="F34" s="17">
        <f>-SUMIF('1.1 FY2016'!$G:$G,B34,'1.1 FY2016'!$E:$E)</f>
        <v>-133722</v>
      </c>
      <c r="G34" s="17">
        <f>-SUMIF('1.2 FY2017'!$G:$G,'2.1 Database'!B34,'1.2 FY2017'!$E:$E)</f>
        <v>0</v>
      </c>
      <c r="H34" s="17">
        <f>-SUMIF('1.3 FY2018'!$G:$G,'2.1 Database'!B34,'1.3 FY2018'!$E:$E)</f>
        <v>0</v>
      </c>
      <c r="I34" s="17"/>
      <c r="J34" s="2" t="s">
        <v>233</v>
      </c>
      <c r="L34" s="2">
        <f>COUNTIF('2.2 P&amp;L statement'!$B$4:$B$24,'2.1 Database'!$J34)</f>
        <v>1</v>
      </c>
    </row>
    <row r="35" spans="2:12" x14ac:dyDescent="0.2">
      <c r="B35" s="17" t="s">
        <v>148</v>
      </c>
      <c r="C35" s="17" t="s">
        <v>79</v>
      </c>
      <c r="D35" s="17" t="str">
        <f>INDEX('1.1 FY2016'!$B$5:$F$61,MATCH($B35,'1.1 FY2016'!$G$5:$G$61,0),2)</f>
        <v>2240</v>
      </c>
      <c r="E35" s="17" t="str">
        <f>INDEX('1.1 FY2016'!$B$5:$F$61,MATCH($B35,'1.1 FY2016'!$G$5:$G$61,0),3)</f>
        <v>Greeny Germany GmbH</v>
      </c>
      <c r="F35" s="17">
        <f>-SUMIF('1.1 FY2016'!$G:$G,B35,'1.1 FY2016'!$E:$E)</f>
        <v>-328061.886</v>
      </c>
      <c r="G35" s="17">
        <f>-SUMIF('1.2 FY2017'!$G:$G,'2.1 Database'!B35,'1.2 FY2017'!$E:$E)</f>
        <v>-430845.34499999997</v>
      </c>
      <c r="H35" s="17">
        <f>-SUMIF('1.3 FY2018'!$G:$G,'2.1 Database'!B35,'1.3 FY2018'!$E:$E)</f>
        <v>0</v>
      </c>
      <c r="I35" s="17"/>
      <c r="J35" s="2" t="s">
        <v>233</v>
      </c>
      <c r="L35" s="2">
        <f>COUNTIF('2.2 P&amp;L statement'!$B$4:$B$24,'2.1 Database'!$J35)</f>
        <v>1</v>
      </c>
    </row>
    <row r="36" spans="2:12" x14ac:dyDescent="0.2">
      <c r="B36" s="17" t="s">
        <v>149</v>
      </c>
      <c r="C36" s="17" t="s">
        <v>79</v>
      </c>
      <c r="D36" s="17">
        <f>INDEX('1.1 FY2016'!$B$5:$F$61,MATCH($B36,'1.1 FY2016'!$G$5:$G$61,0),2)</f>
        <v>111111</v>
      </c>
      <c r="E36" s="17" t="str">
        <f>INDEX('1.1 FY2016'!$B$5:$F$61,MATCH($B36,'1.1 FY2016'!$G$5:$G$61,0),3)</f>
        <v>External</v>
      </c>
      <c r="F36" s="17">
        <f>-SUMIF('1.1 FY2016'!$G:$G,B36,'1.1 FY2016'!$E:$E)</f>
        <v>-2081304.3219999997</v>
      </c>
      <c r="G36" s="17">
        <f>-SUMIF('1.2 FY2017'!$G:$G,'2.1 Database'!B36,'1.2 FY2017'!$E:$E)</f>
        <v>-1130021</v>
      </c>
      <c r="H36" s="17">
        <f>-SUMIF('1.3 FY2018'!$G:$G,'2.1 Database'!B36,'1.3 FY2018'!$E:$E)</f>
        <v>-1481408.47</v>
      </c>
      <c r="I36" s="17"/>
      <c r="J36" s="2" t="s">
        <v>233</v>
      </c>
      <c r="L36" s="2">
        <f>COUNTIF('2.2 P&amp;L statement'!$B$4:$B$24,'2.1 Database'!$J36)</f>
        <v>1</v>
      </c>
    </row>
    <row r="37" spans="2:12" x14ac:dyDescent="0.2">
      <c r="B37" s="17" t="s">
        <v>150</v>
      </c>
      <c r="C37" s="17" t="s">
        <v>8</v>
      </c>
      <c r="D37" s="17">
        <f>INDEX('1.1 FY2016'!$B$5:$F$61,MATCH($B37,'1.1 FY2016'!$G$5:$G$61,0),2)</f>
        <v>111111</v>
      </c>
      <c r="E37" s="17" t="str">
        <f>INDEX('1.1 FY2016'!$B$5:$F$61,MATCH($B37,'1.1 FY2016'!$G$5:$G$61,0),3)</f>
        <v>External</v>
      </c>
      <c r="F37" s="17">
        <f>-SUMIF('1.1 FY2016'!$G:$G,B37,'1.1 FY2016'!$E:$E)</f>
        <v>-33410.031999999999</v>
      </c>
      <c r="G37" s="17">
        <f>-SUMIF('1.2 FY2017'!$G:$G,'2.1 Database'!B37,'1.2 FY2017'!$E:$E)</f>
        <v>-7293.5450000000001</v>
      </c>
      <c r="H37" s="17">
        <f>-SUMIF('1.3 FY2018'!$G:$G,'2.1 Database'!B37,'1.3 FY2018'!$E:$E)</f>
        <v>-40048.799999999996</v>
      </c>
      <c r="I37" s="17"/>
      <c r="J37" s="2" t="s">
        <v>230</v>
      </c>
      <c r="L37" s="2">
        <f>COUNTIF('2.2 P&amp;L statement'!$B$4:$B$24,'2.1 Database'!$J37)</f>
        <v>1</v>
      </c>
    </row>
    <row r="38" spans="2:12" x14ac:dyDescent="0.2">
      <c r="B38" s="17" t="s">
        <v>151</v>
      </c>
      <c r="C38" s="17" t="s">
        <v>80</v>
      </c>
      <c r="D38" s="17">
        <f>INDEX('1.1 FY2016'!$B$5:$F$61,MATCH($B38,'1.1 FY2016'!$G$5:$G$61,0),2)</f>
        <v>111111</v>
      </c>
      <c r="E38" s="17" t="str">
        <f>INDEX('1.1 FY2016'!$B$5:$F$61,MATCH($B38,'1.1 FY2016'!$G$5:$G$61,0),3)</f>
        <v>External</v>
      </c>
      <c r="F38" s="17">
        <f>-SUMIF('1.1 FY2016'!$G:$G,B38,'1.1 FY2016'!$E:$E)</f>
        <v>-213090.85199999998</v>
      </c>
      <c r="G38" s="17">
        <f>-SUMIF('1.2 FY2017'!$G:$G,'2.1 Database'!B38,'1.2 FY2017'!$E:$E)</f>
        <v>-48468.665000000001</v>
      </c>
      <c r="H38" s="17">
        <f>-SUMIF('1.3 FY2018'!$G:$G,'2.1 Database'!B38,'1.3 FY2018'!$E:$E)</f>
        <v>-64039.82699999999</v>
      </c>
      <c r="I38" s="17"/>
      <c r="J38" s="2" t="s">
        <v>230</v>
      </c>
      <c r="L38" s="2">
        <f>COUNTIF('2.2 P&amp;L statement'!$B$4:$B$24,'2.1 Database'!$J38)</f>
        <v>1</v>
      </c>
    </row>
    <row r="39" spans="2:12" x14ac:dyDescent="0.2">
      <c r="B39" s="17" t="s">
        <v>152</v>
      </c>
      <c r="C39" s="17" t="s">
        <v>9</v>
      </c>
      <c r="D39" s="17">
        <f>INDEX('1.1 FY2016'!$B$5:$F$61,MATCH($B39,'1.1 FY2016'!$G$5:$G$61,0),2)</f>
        <v>111111</v>
      </c>
      <c r="E39" s="17" t="str">
        <f>INDEX('1.1 FY2016'!$B$5:$F$61,MATCH($B39,'1.1 FY2016'!$G$5:$G$61,0),3)</f>
        <v>External</v>
      </c>
      <c r="F39" s="17">
        <f>-SUMIF('1.1 FY2016'!$G:$G,B39,'1.1 FY2016'!$E:$E)</f>
        <v>-1813525.004</v>
      </c>
      <c r="G39" s="17">
        <f>-SUMIF('1.2 FY2017'!$G:$G,'2.1 Database'!B39,'1.2 FY2017'!$E:$E)</f>
        <v>-2393259.19</v>
      </c>
      <c r="H39" s="17">
        <f>-SUMIF('1.3 FY2018'!$G:$G,'2.1 Database'!B39,'1.3 FY2018'!$E:$E)</f>
        <v>-2514431.8869999996</v>
      </c>
      <c r="I39" s="17"/>
      <c r="J39" s="2" t="s">
        <v>234</v>
      </c>
      <c r="L39" s="2">
        <f>COUNTIF('2.2 P&amp;L statement'!$B$4:$B$24,'2.1 Database'!$J39)</f>
        <v>1</v>
      </c>
    </row>
    <row r="40" spans="2:12" x14ac:dyDescent="0.2">
      <c r="B40" s="17" t="s">
        <v>153</v>
      </c>
      <c r="C40" s="17" t="s">
        <v>81</v>
      </c>
      <c r="D40" s="17">
        <f>INDEX('1.1 FY2016'!$B$5:$F$61,MATCH($B40,'1.1 FY2016'!$G$5:$G$61,0),2)</f>
        <v>111111</v>
      </c>
      <c r="E40" s="17" t="str">
        <f>INDEX('1.1 FY2016'!$B$5:$F$61,MATCH($B40,'1.1 FY2016'!$G$5:$G$61,0),3)</f>
        <v>External</v>
      </c>
      <c r="F40" s="17">
        <f>-SUMIF('1.1 FY2016'!$G:$G,B40,'1.1 FY2016'!$E:$E)</f>
        <v>-5552.2</v>
      </c>
      <c r="G40" s="17">
        <f>-SUMIF('1.2 FY2017'!$G:$G,'2.1 Database'!B40,'1.2 FY2017'!$E:$E)</f>
        <v>-23069.654999999999</v>
      </c>
      <c r="H40" s="17">
        <f>-SUMIF('1.3 FY2018'!$G:$G,'2.1 Database'!B40,'1.3 FY2018'!$E:$E)</f>
        <v>-4194.2999999999993</v>
      </c>
      <c r="I40" s="17"/>
      <c r="J40" s="2" t="s">
        <v>230</v>
      </c>
      <c r="L40" s="2">
        <f>COUNTIF('2.2 P&amp;L statement'!$B$4:$B$24,'2.1 Database'!$J40)</f>
        <v>1</v>
      </c>
    </row>
    <row r="41" spans="2:12" x14ac:dyDescent="0.2">
      <c r="B41" s="17" t="s">
        <v>154</v>
      </c>
      <c r="C41" s="17" t="s">
        <v>82</v>
      </c>
      <c r="D41" s="17">
        <f>INDEX('1.1 FY2016'!$B$5:$F$61,MATCH($B41,'1.1 FY2016'!$G$5:$G$61,0),2)</f>
        <v>111111</v>
      </c>
      <c r="E41" s="17" t="str">
        <f>INDEX('1.1 FY2016'!$B$5:$F$61,MATCH($B41,'1.1 FY2016'!$G$5:$G$61,0),3)</f>
        <v>External</v>
      </c>
      <c r="F41" s="17">
        <f>-SUMIF('1.1 FY2016'!$G:$G,B41,'1.1 FY2016'!$E:$E)</f>
        <v>-43868.975999999995</v>
      </c>
      <c r="G41" s="17">
        <f>-SUMIF('1.2 FY2017'!$G:$G,'2.1 Database'!B41,'1.2 FY2017'!$E:$E)</f>
        <v>-208366.935</v>
      </c>
      <c r="H41" s="17">
        <f>-SUMIF('1.3 FY2018'!$G:$G,'2.1 Database'!B41,'1.3 FY2018'!$E:$E)</f>
        <v>-106525.708</v>
      </c>
      <c r="I41" s="17"/>
      <c r="J41" s="2" t="s">
        <v>230</v>
      </c>
      <c r="L41" s="2">
        <f>COUNTIF('2.2 P&amp;L statement'!$B$4:$B$24,'2.1 Database'!$J41)</f>
        <v>1</v>
      </c>
    </row>
    <row r="42" spans="2:12" x14ac:dyDescent="0.2">
      <c r="B42" s="17" t="s">
        <v>155</v>
      </c>
      <c r="C42" s="17" t="s">
        <v>83</v>
      </c>
      <c r="D42" s="17">
        <f>INDEX('1.1 FY2016'!$B$5:$F$61,MATCH($B42,'1.1 FY2016'!$G$5:$G$61,0),2)</f>
        <v>111101</v>
      </c>
      <c r="E42" s="17" t="str">
        <f>INDEX('1.1 FY2016'!$B$5:$F$61,MATCH($B42,'1.1 FY2016'!$G$5:$G$61,0),3)</f>
        <v>Not assigned</v>
      </c>
      <c r="F42" s="17">
        <f>-SUMIF('1.1 FY2016'!$G:$G,B42,'1.1 FY2016'!$E:$E)</f>
        <v>-10934.671999999999</v>
      </c>
      <c r="G42" s="17">
        <f>-SUMIF('1.2 FY2017'!$G:$G,'2.1 Database'!B42,'1.2 FY2017'!$E:$E)</f>
        <v>-20323.309999999998</v>
      </c>
      <c r="H42" s="17">
        <f>-SUMIF('1.3 FY2018'!$G:$G,'2.1 Database'!B42,'1.3 FY2018'!$E:$E)</f>
        <v>-109811.284</v>
      </c>
      <c r="I42" s="17"/>
      <c r="J42" s="2" t="s">
        <v>230</v>
      </c>
      <c r="L42" s="2">
        <f>COUNTIF('2.2 P&amp;L statement'!$B$4:$B$24,'2.1 Database'!$J42)</f>
        <v>1</v>
      </c>
    </row>
    <row r="43" spans="2:12" x14ac:dyDescent="0.2">
      <c r="B43" s="17" t="s">
        <v>156</v>
      </c>
      <c r="C43" s="17" t="s">
        <v>84</v>
      </c>
      <c r="D43" s="17">
        <f>INDEX('1.1 FY2016'!$B$5:$F$61,MATCH($B43,'1.1 FY2016'!$G$5:$G$61,0),2)</f>
        <v>111111</v>
      </c>
      <c r="E43" s="17" t="str">
        <f>INDEX('1.1 FY2016'!$B$5:$F$61,MATCH($B43,'1.1 FY2016'!$G$5:$G$61,0),3)</f>
        <v>External</v>
      </c>
      <c r="F43" s="17">
        <f>-SUMIF('1.1 FY2016'!$G:$G,B43,'1.1 FY2016'!$E:$E)</f>
        <v>-20400</v>
      </c>
      <c r="G43" s="17">
        <f>-SUMIF('1.2 FY2017'!$G:$G,'2.1 Database'!B43,'1.2 FY2017'!$E:$E)</f>
        <v>-169489</v>
      </c>
      <c r="H43" s="17">
        <f>-SUMIF('1.3 FY2018'!$G:$G,'2.1 Database'!B43,'1.3 FY2018'!$E:$E)</f>
        <v>-61111.483999999997</v>
      </c>
      <c r="I43" s="17"/>
      <c r="J43" s="2" t="s">
        <v>230</v>
      </c>
      <c r="L43" s="2">
        <f>COUNTIF('2.2 P&amp;L statement'!$B$4:$B$24,'2.1 Database'!$J43)</f>
        <v>1</v>
      </c>
    </row>
    <row r="44" spans="2:12" x14ac:dyDescent="0.2">
      <c r="B44" s="17" t="s">
        <v>157</v>
      </c>
      <c r="C44" s="17" t="s">
        <v>85</v>
      </c>
      <c r="D44" s="17">
        <f>INDEX('1.1 FY2016'!$B$5:$F$61,MATCH($B44,'1.1 FY2016'!$G$5:$G$61,0),2)</f>
        <v>105</v>
      </c>
      <c r="E44" s="17" t="str">
        <f>INDEX('1.1 FY2016'!$B$5:$F$61,MATCH($B44,'1.1 FY2016'!$G$5:$G$61,0),3)</f>
        <v>Generco Healthcare Ltd</v>
      </c>
      <c r="F44" s="17">
        <f>-SUMIF('1.1 FY2016'!$G:$G,B44,'1.1 FY2016'!$E:$E)</f>
        <v>0</v>
      </c>
      <c r="G44" s="17">
        <f>-SUMIF('1.2 FY2017'!$G:$G,'2.1 Database'!B44,'1.2 FY2017'!$E:$E)</f>
        <v>0</v>
      </c>
      <c r="H44" s="17">
        <f>-SUMIF('1.3 FY2018'!$G:$G,'2.1 Database'!B44,'1.3 FY2018'!$E:$E)</f>
        <v>-1684415.2999999998</v>
      </c>
      <c r="I44" s="17"/>
      <c r="J44" s="2" t="s">
        <v>230</v>
      </c>
      <c r="L44" s="2">
        <f>COUNTIF('2.2 P&amp;L statement'!$B$4:$B$24,'2.1 Database'!$J44)</f>
        <v>1</v>
      </c>
    </row>
    <row r="45" spans="2:12" x14ac:dyDescent="0.2">
      <c r="B45" s="17" t="s">
        <v>158</v>
      </c>
      <c r="C45" s="17" t="s">
        <v>85</v>
      </c>
      <c r="D45" s="17">
        <f>INDEX('1.1 FY2016'!$B$5:$F$61,MATCH($B45,'1.1 FY2016'!$G$5:$G$61,0),2)</f>
        <v>111111</v>
      </c>
      <c r="E45" s="17" t="str">
        <f>INDEX('1.1 FY2016'!$B$5:$F$61,MATCH($B45,'1.1 FY2016'!$G$5:$G$61,0),3)</f>
        <v>External</v>
      </c>
      <c r="F45" s="17">
        <f>-SUMIF('1.1 FY2016'!$G:$G,B45,'1.1 FY2016'!$E:$E)</f>
        <v>-563918.152</v>
      </c>
      <c r="G45" s="17">
        <f>-SUMIF('1.2 FY2017'!$G:$G,'2.1 Database'!B45,'1.2 FY2017'!$E:$E)</f>
        <v>-638869.13</v>
      </c>
      <c r="H45" s="17">
        <f>-SUMIF('1.3 FY2018'!$G:$G,'2.1 Database'!B45,'1.3 FY2018'!$E:$E)</f>
        <v>-575626.2649999999</v>
      </c>
      <c r="I45" s="17"/>
      <c r="J45" s="2" t="s">
        <v>230</v>
      </c>
      <c r="L45" s="2">
        <f>COUNTIF('2.2 P&amp;L statement'!$B$4:$B$24,'2.1 Database'!$J45)</f>
        <v>1</v>
      </c>
    </row>
    <row r="46" spans="2:12" x14ac:dyDescent="0.2">
      <c r="B46" s="17" t="s">
        <v>159</v>
      </c>
      <c r="C46" s="17" t="s">
        <v>86</v>
      </c>
      <c r="D46" s="17">
        <f>INDEX('1.1 FY2016'!$B$5:$F$61,MATCH($B46,'1.1 FY2016'!$G$5:$G$61,0),2)</f>
        <v>1009</v>
      </c>
      <c r="E46" s="17" t="str">
        <f>INDEX('1.1 FY2016'!$B$5:$F$61,MATCH($B46,'1.1 FY2016'!$G$5:$G$61,0),3)</f>
        <v>Green Ventures Ltd</v>
      </c>
      <c r="F46" s="17">
        <f>-SUMIF('1.1 FY2016'!$G:$G,B46,'1.1 FY2016'!$E:$E)</f>
        <v>0</v>
      </c>
      <c r="G46" s="17">
        <f>-SUMIF('1.2 FY2017'!$G:$G,'2.1 Database'!B46,'1.2 FY2017'!$E:$E)</f>
        <v>0</v>
      </c>
      <c r="H46" s="17">
        <f>-SUMIF('1.3 FY2018'!$G:$G,'2.1 Database'!B46,'1.3 FY2018'!$E:$E)</f>
        <v>0</v>
      </c>
      <c r="I46" s="17"/>
      <c r="J46" s="2" t="s">
        <v>235</v>
      </c>
      <c r="L46" s="2">
        <f>COUNTIF('2.2 P&amp;L statement'!$B$4:$B$24,'2.1 Database'!$J46)</f>
        <v>0</v>
      </c>
    </row>
    <row r="47" spans="2:12" x14ac:dyDescent="0.2">
      <c r="B47" s="17" t="s">
        <v>160</v>
      </c>
      <c r="C47" s="17" t="s">
        <v>86</v>
      </c>
      <c r="D47" s="17">
        <f>INDEX('1.1 FY2016'!$B$5:$F$61,MATCH($B47,'1.1 FY2016'!$G$5:$G$61,0),2)</f>
        <v>1007</v>
      </c>
      <c r="E47" s="17" t="str">
        <f>INDEX('1.1 FY2016'!$B$5:$F$61,MATCH($B47,'1.1 FY2016'!$G$5:$G$61,0),3)</f>
        <v>Generco Sunshine JSC</v>
      </c>
      <c r="F47" s="17">
        <f>-SUMIF('1.1 FY2016'!$G:$G,B47,'1.1 FY2016'!$E:$E)</f>
        <v>0</v>
      </c>
      <c r="G47" s="17">
        <f>-SUMIF('1.2 FY2017'!$G:$G,'2.1 Database'!B47,'1.2 FY2017'!$E:$E)</f>
        <v>0</v>
      </c>
      <c r="H47" s="17">
        <f>-SUMIF('1.3 FY2018'!$G:$G,'2.1 Database'!B47,'1.3 FY2018'!$E:$E)</f>
        <v>0</v>
      </c>
      <c r="I47" s="17"/>
      <c r="J47" s="2" t="s">
        <v>235</v>
      </c>
      <c r="L47" s="2">
        <f>COUNTIF('2.2 P&amp;L statement'!$B$4:$B$24,'2.1 Database'!$J47)</f>
        <v>0</v>
      </c>
    </row>
    <row r="48" spans="2:12" x14ac:dyDescent="0.2">
      <c r="B48" s="17" t="s">
        <v>161</v>
      </c>
      <c r="C48" s="17" t="s">
        <v>86</v>
      </c>
      <c r="D48" s="17">
        <f>INDEX('1.1 FY2016'!$B$5:$F$61,MATCH($B48,'1.1 FY2016'!$G$5:$G$61,0),2)</f>
        <v>1008</v>
      </c>
      <c r="E48" s="17" t="str">
        <f>INDEX('1.1 FY2016'!$B$5:$F$61,MATCH($B48,'1.1 FY2016'!$G$5:$G$61,0),3)</f>
        <v>Greenco Ltd</v>
      </c>
      <c r="F48" s="17">
        <f>-SUMIF('1.1 FY2016'!$G:$G,B48,'1.1 FY2016'!$E:$E)</f>
        <v>0</v>
      </c>
      <c r="G48" s="17">
        <f>-SUMIF('1.2 FY2017'!$G:$G,'2.1 Database'!B48,'1.2 FY2017'!$E:$E)</f>
        <v>0</v>
      </c>
      <c r="H48" s="17">
        <f>-SUMIF('1.3 FY2018'!$G:$G,'2.1 Database'!B48,'1.3 FY2018'!$E:$E)</f>
        <v>0</v>
      </c>
      <c r="I48" s="17"/>
      <c r="J48" s="2" t="s">
        <v>235</v>
      </c>
      <c r="L48" s="2">
        <f>COUNTIF('2.2 P&amp;L statement'!$B$4:$B$24,'2.1 Database'!$J48)</f>
        <v>0</v>
      </c>
    </row>
    <row r="49" spans="2:12" x14ac:dyDescent="0.2">
      <c r="B49" s="17" t="s">
        <v>162</v>
      </c>
      <c r="C49" s="17" t="s">
        <v>87</v>
      </c>
      <c r="D49" s="17">
        <f>INDEX('1.1 FY2016'!$B$5:$F$61,MATCH($B49,'1.1 FY2016'!$G$5:$G$61,0),2)</f>
        <v>1009</v>
      </c>
      <c r="E49" s="17" t="str">
        <f>INDEX('1.1 FY2016'!$B$5:$F$61,MATCH($B49,'1.1 FY2016'!$G$5:$G$61,0),3)</f>
        <v>Green Ventures Ltd</v>
      </c>
      <c r="F49" s="17">
        <f>-SUMIF('1.1 FY2016'!$G:$G,B49,'1.1 FY2016'!$E:$E)</f>
        <v>0</v>
      </c>
      <c r="G49" s="17">
        <f>-SUMIF('1.2 FY2017'!$G:$G,'2.1 Database'!B49,'1.2 FY2017'!$E:$E)</f>
        <v>0</v>
      </c>
      <c r="H49" s="17">
        <f>-SUMIF('1.3 FY2018'!$G:$G,'2.1 Database'!B49,'1.3 FY2018'!$E:$E)</f>
        <v>0</v>
      </c>
      <c r="I49" s="17"/>
      <c r="J49" s="2" t="s">
        <v>236</v>
      </c>
      <c r="L49" s="2">
        <f>COUNTIF('2.2 P&amp;L statement'!$B$4:$B$24,'2.1 Database'!$J49)</f>
        <v>1</v>
      </c>
    </row>
    <row r="50" spans="2:12" x14ac:dyDescent="0.2">
      <c r="B50" s="17" t="s">
        <v>163</v>
      </c>
      <c r="C50" s="17" t="s">
        <v>87</v>
      </c>
      <c r="D50" s="17">
        <f>INDEX('1.1 FY2016'!$B$5:$F$61,MATCH($B50,'1.1 FY2016'!$G$5:$G$61,0),2)</f>
        <v>1007</v>
      </c>
      <c r="E50" s="17" t="str">
        <f>INDEX('1.1 FY2016'!$B$5:$F$61,MATCH($B50,'1.1 FY2016'!$G$5:$G$61,0),3)</f>
        <v>Generco Sunshine JSC</v>
      </c>
      <c r="F50" s="17">
        <f>-SUMIF('1.1 FY2016'!$G:$G,B50,'1.1 FY2016'!$E:$E)</f>
        <v>0</v>
      </c>
      <c r="G50" s="17">
        <f>-SUMIF('1.2 FY2017'!$G:$G,'2.1 Database'!B50,'1.2 FY2017'!$E:$E)</f>
        <v>0</v>
      </c>
      <c r="H50" s="17">
        <f>-SUMIF('1.3 FY2018'!$G:$G,'2.1 Database'!B50,'1.3 FY2018'!$E:$E)</f>
        <v>0</v>
      </c>
      <c r="I50" s="17"/>
      <c r="J50" s="2" t="s">
        <v>236</v>
      </c>
      <c r="L50" s="2">
        <f>COUNTIF('2.2 P&amp;L statement'!$B$4:$B$24,'2.1 Database'!$J50)</f>
        <v>1</v>
      </c>
    </row>
    <row r="51" spans="2:12" x14ac:dyDescent="0.2">
      <c r="B51" s="17" t="s">
        <v>164</v>
      </c>
      <c r="C51" s="17" t="s">
        <v>87</v>
      </c>
      <c r="D51" s="17">
        <f>INDEX('1.1 FY2016'!$B$5:$F$61,MATCH($B51,'1.1 FY2016'!$G$5:$G$61,0),2)</f>
        <v>1008</v>
      </c>
      <c r="E51" s="17" t="str">
        <f>INDEX('1.1 FY2016'!$B$5:$F$61,MATCH($B51,'1.1 FY2016'!$G$5:$G$61,0),3)</f>
        <v>Greenco Ltd</v>
      </c>
      <c r="F51" s="17">
        <f>-SUMIF('1.1 FY2016'!$G:$G,B51,'1.1 FY2016'!$E:$E)</f>
        <v>0</v>
      </c>
      <c r="G51" s="17">
        <f>-SUMIF('1.2 FY2017'!$G:$G,'2.1 Database'!B51,'1.2 FY2017'!$E:$E)</f>
        <v>0</v>
      </c>
      <c r="H51" s="17">
        <f>-SUMIF('1.3 FY2018'!$G:$G,'2.1 Database'!B51,'1.3 FY2018'!$E:$E)</f>
        <v>0</v>
      </c>
      <c r="I51" s="17"/>
      <c r="J51" s="2" t="s">
        <v>236</v>
      </c>
      <c r="L51" s="2">
        <f>COUNTIF('2.2 P&amp;L statement'!$B$4:$B$24,'2.1 Database'!$J51)</f>
        <v>1</v>
      </c>
    </row>
    <row r="52" spans="2:12" x14ac:dyDescent="0.2">
      <c r="B52" s="17" t="s">
        <v>165</v>
      </c>
      <c r="C52" s="17" t="s">
        <v>87</v>
      </c>
      <c r="D52" s="17">
        <f>INDEX('1.1 FY2016'!$B$5:$F$61,MATCH($B52,'1.1 FY2016'!$G$5:$G$61,0),2)</f>
        <v>1240</v>
      </c>
      <c r="E52" s="17" t="str">
        <f>INDEX('1.1 FY2016'!$B$5:$F$61,MATCH($B52,'1.1 FY2016'!$G$5:$G$61,0),3)</f>
        <v xml:space="preserve">Generco UK </v>
      </c>
      <c r="F52" s="17">
        <f>-SUMIF('1.1 FY2016'!$G:$G,B52,'1.1 FY2016'!$E:$E)</f>
        <v>35810.228000000003</v>
      </c>
      <c r="G52" s="17">
        <f>-SUMIF('1.2 FY2017'!$G:$G,'2.1 Database'!B52,'1.2 FY2017'!$E:$E)</f>
        <v>34224.959999999999</v>
      </c>
      <c r="H52" s="17">
        <f>-SUMIF('1.3 FY2018'!$G:$G,'2.1 Database'!B52,'1.3 FY2018'!$E:$E)</f>
        <v>0</v>
      </c>
      <c r="I52" s="17"/>
      <c r="J52" s="2" t="s">
        <v>236</v>
      </c>
      <c r="L52" s="2">
        <f>COUNTIF('2.2 P&amp;L statement'!$B$4:$B$24,'2.1 Database'!$J52)</f>
        <v>1</v>
      </c>
    </row>
    <row r="53" spans="2:12" x14ac:dyDescent="0.2">
      <c r="B53" s="17" t="s">
        <v>166</v>
      </c>
      <c r="C53" s="17" t="s">
        <v>87</v>
      </c>
      <c r="D53" s="17">
        <f>INDEX('1.1 FY2016'!$B$5:$F$61,MATCH($B53,'1.1 FY2016'!$G$5:$G$61,0),2)</f>
        <v>111111</v>
      </c>
      <c r="E53" s="17" t="str">
        <f>INDEX('1.1 FY2016'!$B$5:$F$61,MATCH($B53,'1.1 FY2016'!$G$5:$G$61,0),3)</f>
        <v>External</v>
      </c>
      <c r="F53" s="17">
        <f>-SUMIF('1.1 FY2016'!$G:$G,B53,'1.1 FY2016'!$E:$E)</f>
        <v>51927.417999999998</v>
      </c>
      <c r="G53" s="17">
        <f>-SUMIF('1.2 FY2017'!$G:$G,'2.1 Database'!B53,'1.2 FY2017'!$E:$E)</f>
        <v>2204.7199999999998</v>
      </c>
      <c r="H53" s="17">
        <f>-SUMIF('1.3 FY2018'!$G:$G,'2.1 Database'!B53,'1.3 FY2018'!$E:$E)</f>
        <v>73809.511999999988</v>
      </c>
      <c r="I53" s="17"/>
      <c r="J53" s="2" t="s">
        <v>236</v>
      </c>
      <c r="L53" s="2">
        <f>COUNTIF('2.2 P&amp;L statement'!$B$4:$B$24,'2.1 Database'!$J53)</f>
        <v>1</v>
      </c>
    </row>
    <row r="54" spans="2:12" x14ac:dyDescent="0.2">
      <c r="B54" s="17" t="s">
        <v>167</v>
      </c>
      <c r="C54" s="17" t="s">
        <v>10</v>
      </c>
      <c r="D54" s="17">
        <f>INDEX('1.1 FY2016'!$B$5:$F$61,MATCH($B54,'1.1 FY2016'!$G$5:$G$61,0),2)</f>
        <v>111101</v>
      </c>
      <c r="E54" s="17" t="str">
        <f>INDEX('1.1 FY2016'!$B$5:$F$61,MATCH($B54,'1.1 FY2016'!$G$5:$G$61,0),3)</f>
        <v>Not assigned</v>
      </c>
      <c r="F54" s="17">
        <f>-SUMIF('1.1 FY2016'!$G:$G,B54,'1.1 FY2016'!$E:$E)</f>
        <v>862270.63399999996</v>
      </c>
      <c r="G54" s="17">
        <f>-SUMIF('1.2 FY2017'!$G:$G,'2.1 Database'!B54,'1.2 FY2017'!$E:$E)</f>
        <v>0</v>
      </c>
      <c r="H54" s="17">
        <f>-SUMIF('1.3 FY2018'!$G:$G,'2.1 Database'!B54,'1.3 FY2018'!$E:$E)</f>
        <v>0</v>
      </c>
      <c r="I54" s="17"/>
      <c r="J54" s="2" t="s">
        <v>68</v>
      </c>
      <c r="L54" s="2">
        <f>COUNTIF('2.2 P&amp;L statement'!$B$4:$B$24,'2.1 Database'!$J54)</f>
        <v>1</v>
      </c>
    </row>
    <row r="55" spans="2:12" x14ac:dyDescent="0.2">
      <c r="B55" s="17" t="s">
        <v>168</v>
      </c>
      <c r="C55" s="17" t="s">
        <v>88</v>
      </c>
      <c r="D55" s="17">
        <f>INDEX('1.1 FY2016'!$B$5:$F$61,MATCH($B55,'1.1 FY2016'!$G$5:$G$61,0),2)</f>
        <v>111101</v>
      </c>
      <c r="E55" s="17" t="str">
        <f>INDEX('1.1 FY2016'!$B$5:$F$61,MATCH($B55,'1.1 FY2016'!$G$5:$G$61,0),3)</f>
        <v>Not assigned</v>
      </c>
      <c r="F55" s="17">
        <f>-SUMIF('1.1 FY2016'!$G:$G,B55,'1.1 FY2016'!$E:$E)</f>
        <v>-22763</v>
      </c>
      <c r="G55" s="17">
        <f>-SUMIF('1.2 FY2017'!$G:$G,'2.1 Database'!B55,'1.2 FY2017'!$E:$E)</f>
        <v>-80617.179999999993</v>
      </c>
      <c r="H55" s="17">
        <f>-SUMIF('1.3 FY2018'!$G:$G,'2.1 Database'!B55,'1.3 FY2018'!$E:$E)</f>
        <v>-7173.195999999999</v>
      </c>
      <c r="I55" s="17"/>
      <c r="J55" s="2" t="s">
        <v>237</v>
      </c>
      <c r="L55" s="2">
        <f>COUNTIF('2.2 P&amp;L statement'!$B$4:$B$24,'2.1 Database'!$J55)</f>
        <v>1</v>
      </c>
    </row>
    <row r="56" spans="2:12" x14ac:dyDescent="0.2">
      <c r="B56" s="17" t="s">
        <v>169</v>
      </c>
      <c r="C56" s="17" t="s">
        <v>89</v>
      </c>
      <c r="D56" s="17">
        <f>INDEX('1.1 FY2016'!$B$5:$F$61,MATCH($B56,'1.1 FY2016'!$G$5:$G$61,0),2)</f>
        <v>88</v>
      </c>
      <c r="E56" s="17" t="str">
        <f>INDEX('1.1 FY2016'!$B$5:$F$61,MATCH($B56,'1.1 FY2016'!$G$5:$G$61,0),3)</f>
        <v>Generco Ltd</v>
      </c>
      <c r="F56" s="17">
        <f>-SUMIF('1.1 FY2016'!$G:$G,B56,'1.1 FY2016'!$E:$E)</f>
        <v>-2930430.0120000001</v>
      </c>
      <c r="G56" s="17">
        <f>-SUMIF('1.2 FY2017'!$G:$G,'2.1 Database'!B56,'1.2 FY2017'!$E:$E)</f>
        <v>-2752704.22</v>
      </c>
      <c r="H56" s="17">
        <f>-SUMIF('1.3 FY2018'!$G:$G,'2.1 Database'!B56,'1.3 FY2018'!$E:$E)</f>
        <v>-2324465.8859999999</v>
      </c>
      <c r="I56" s="17"/>
      <c r="J56" s="2" t="s">
        <v>236</v>
      </c>
      <c r="L56" s="2">
        <f>COUNTIF('2.2 P&amp;L statement'!$B$4:$B$24,'2.1 Database'!$J56)</f>
        <v>1</v>
      </c>
    </row>
    <row r="57" spans="2:12" x14ac:dyDescent="0.2">
      <c r="B57" s="17" t="s">
        <v>170</v>
      </c>
      <c r="C57" s="17" t="s">
        <v>90</v>
      </c>
      <c r="D57" s="17">
        <f>INDEX('1.1 FY2016'!$B$5:$F$61,MATCH($B57,'1.1 FY2016'!$G$5:$G$61,0),2)</f>
        <v>111101</v>
      </c>
      <c r="E57" s="17" t="str">
        <f>INDEX('1.1 FY2016'!$B$5:$F$61,MATCH($B57,'1.1 FY2016'!$G$5:$G$61,0),3)</f>
        <v>Not assigned</v>
      </c>
      <c r="F57" s="17">
        <f>-SUMIF('1.1 FY2016'!$G:$G,B57,'1.1 FY2016'!$E:$E)</f>
        <v>49378.641999999993</v>
      </c>
      <c r="G57" s="17">
        <f>-SUMIF('1.2 FY2017'!$G:$G,'2.1 Database'!B57,'1.2 FY2017'!$E:$E)</f>
        <v>-496748.70000000007</v>
      </c>
      <c r="H57" s="17">
        <f>-SUMIF('1.3 FY2018'!$G:$G,'2.1 Database'!B57,'1.3 FY2018'!$E:$E)</f>
        <v>-2558.1950000000002</v>
      </c>
      <c r="I57" s="17"/>
      <c r="J57" s="2" t="s">
        <v>238</v>
      </c>
      <c r="L57" s="2">
        <f>COUNTIF('2.2 P&amp;L statement'!$B$4:$B$24,'2.1 Database'!$J57)</f>
        <v>1</v>
      </c>
    </row>
    <row r="58" spans="2:12" x14ac:dyDescent="0.2">
      <c r="B58" s="17" t="s">
        <v>171</v>
      </c>
      <c r="C58" s="17" t="s">
        <v>91</v>
      </c>
      <c r="D58" s="17">
        <f>INDEX('1.1 FY2016'!$B$5:$F$61,MATCH($B58,'1.1 FY2016'!$G$5:$G$61,0),2)</f>
        <v>111101</v>
      </c>
      <c r="E58" s="17" t="str">
        <f>INDEX('1.1 FY2016'!$B$5:$F$61,MATCH($B58,'1.1 FY2016'!$G$5:$G$61,0),3)</f>
        <v>Not assigned</v>
      </c>
      <c r="F58" s="17">
        <f>-SUMIF('1.1 FY2016'!$G:$G,B58,'1.1 FY2016'!$E:$E)</f>
        <v>-516250.67</v>
      </c>
      <c r="G58" s="17">
        <f>-SUMIF('1.2 FY2017'!$G:$G,'2.1 Database'!B58,'1.2 FY2017'!$E:$E)</f>
        <v>-480872.96000000002</v>
      </c>
      <c r="H58" s="17">
        <f>-SUMIF('1.3 FY2018'!$G:$G,'2.1 Database'!B58,'1.3 FY2018'!$E:$E)</f>
        <v>-522710.353</v>
      </c>
      <c r="I58" s="17"/>
      <c r="J58" s="2" t="s">
        <v>238</v>
      </c>
      <c r="L58" s="2">
        <f>COUNTIF('2.2 P&amp;L statement'!$B$4:$B$24,'2.1 Database'!$J58)</f>
        <v>1</v>
      </c>
    </row>
    <row r="59" spans="2:12" x14ac:dyDescent="0.2">
      <c r="B59" s="17" t="s">
        <v>172</v>
      </c>
      <c r="C59" s="17" t="s">
        <v>92</v>
      </c>
      <c r="D59" s="17">
        <f>INDEX('1.1 FY2016'!$B$5:$F$61,MATCH($B59,'1.1 FY2016'!$G$5:$G$61,0),2)</f>
        <v>111101</v>
      </c>
      <c r="E59" s="17" t="str">
        <f>INDEX('1.1 FY2016'!$B$5:$F$61,MATCH($B59,'1.1 FY2016'!$G$5:$G$61,0),3)</f>
        <v>Not assigned</v>
      </c>
      <c r="F59" s="17">
        <f>-SUMIF('1.1 FY2016'!$G:$G,B59,'1.1 FY2016'!$E:$E)</f>
        <v>-21593.093999999997</v>
      </c>
      <c r="G59" s="17">
        <f>-SUMIF('1.2 FY2017'!$G:$G,'2.1 Database'!B59,'1.2 FY2017'!$E:$E)</f>
        <v>-6570.3050000000003</v>
      </c>
      <c r="H59" s="17">
        <f>-SUMIF('1.3 FY2018'!$G:$G,'2.1 Database'!B59,'1.3 FY2018'!$E:$E)</f>
        <v>160303.52199999997</v>
      </c>
      <c r="I59" s="17"/>
      <c r="J59" s="2" t="s">
        <v>238</v>
      </c>
      <c r="L59" s="2">
        <f>COUNTIF('2.2 P&amp;L statement'!$B$4:$B$24,'2.1 Database'!$J59)</f>
        <v>1</v>
      </c>
    </row>
    <row r="60" spans="2:12" x14ac:dyDescent="0.2">
      <c r="B60" s="17" t="s">
        <v>173</v>
      </c>
      <c r="C60" s="17" t="s">
        <v>65</v>
      </c>
      <c r="D60" s="17">
        <f>INDEX('1.1 FY2016'!$B$5:$F$61,MATCH($B60,'1.1 FY2016'!$G$5:$G$61,0),2)</f>
        <v>111101</v>
      </c>
      <c r="E60" s="17" t="str">
        <f>INDEX('1.1 FY2016'!$B$5:$F$61,MATCH($B60,'1.1 FY2016'!$G$5:$G$61,0),3)</f>
        <v>Not assigned</v>
      </c>
      <c r="F60" s="17">
        <f>SUMIF('1.1 FY2016'!$G:$G,B60,'1.1 FY2016'!$E:$E)</f>
        <v>-2904117.9939999986</v>
      </c>
      <c r="G60" s="17">
        <f>SUMIF('1.2 FY2017'!$G:$G,'2.1 Database'!B60,'1.2 FY2017'!$E:$E)</f>
        <v>0</v>
      </c>
      <c r="H60" s="17">
        <f>SUMIF('1.3 FY2018'!$G:$G,'2.1 Database'!B60,'1.3 FY2018'!$E:$E)</f>
        <v>0</v>
      </c>
      <c r="I60" s="17"/>
      <c r="J60" s="2" t="s">
        <v>239</v>
      </c>
      <c r="L60" s="2">
        <f>COUNTIF('2.2 P&amp;L statement'!$B$4:$B$24,'2.1 Database'!$J60)</f>
        <v>1</v>
      </c>
    </row>
    <row r="61" spans="2:12" x14ac:dyDescent="0.2">
      <c r="B61" s="17" t="s">
        <v>174</v>
      </c>
      <c r="C61" s="17" t="s">
        <v>66</v>
      </c>
      <c r="D61" s="17">
        <f>INDEX('1.2 FY2017'!$B$5:$F$86,MATCH($B61,'1.2 FY2017'!$G$5:$G$86,0),2)</f>
        <v>105</v>
      </c>
      <c r="E61" s="17" t="str">
        <f>INDEX('1.2 FY2017'!$B$5:$F$86,MATCH($B61,'1.2 FY2017'!$G$5:$G$86,0),3)</f>
        <v>Generco Healthcare Ltd</v>
      </c>
      <c r="F61" s="17">
        <f>-SUMIF('1.1 FY2016'!$G:$G,B61,'1.1 FY2016'!$E:$E)</f>
        <v>0</v>
      </c>
      <c r="G61" s="17">
        <f>-SUMIF('1.2 FY2017'!$G:$G,'2.1 Database'!B61,'1.2 FY2017'!$E:$E)</f>
        <v>355396.61499999999</v>
      </c>
      <c r="H61" s="17">
        <f>-SUMIF('1.3 FY2018'!$G:$G,'2.1 Database'!B61,'1.3 FY2018'!$E:$E)</f>
        <v>616462.01899999997</v>
      </c>
      <c r="I61" s="17"/>
      <c r="J61" s="2" t="s">
        <v>229</v>
      </c>
      <c r="L61" s="2">
        <f>COUNTIF('2.2 P&amp;L statement'!$B$4:$B$24,'2.1 Database'!$J61)</f>
        <v>1</v>
      </c>
    </row>
    <row r="62" spans="2:12" x14ac:dyDescent="0.2">
      <c r="B62" s="17" t="s">
        <v>175</v>
      </c>
      <c r="C62" s="17" t="s">
        <v>68</v>
      </c>
      <c r="D62" s="17" t="str">
        <f>INDEX('1.2 FY2017'!$B$5:$F$86,MATCH($B62,'1.2 FY2017'!$G$5:$G$86,0),2)</f>
        <v>1086</v>
      </c>
      <c r="E62" s="17" t="str">
        <f>INDEX('1.2 FY2017'!$B$5:$F$86,MATCH($B62,'1.2 FY2017'!$G$5:$G$86,0),3)</f>
        <v>G&amp;Resources Ltd</v>
      </c>
      <c r="F62" s="17">
        <f>-SUMIF('1.1 FY2016'!$G:$G,B62,'1.1 FY2016'!$E:$E)</f>
        <v>0</v>
      </c>
      <c r="G62" s="17">
        <f>-SUMIF('1.2 FY2017'!$G:$G,'2.1 Database'!B62,'1.2 FY2017'!$E:$E)</f>
        <v>420017.14999999997</v>
      </c>
      <c r="H62" s="17">
        <f>-SUMIF('1.3 FY2018'!$G:$G,'2.1 Database'!B62,'1.3 FY2018'!$E:$E)</f>
        <v>0</v>
      </c>
      <c r="I62" s="17"/>
      <c r="J62" s="2" t="s">
        <v>68</v>
      </c>
      <c r="L62" s="2">
        <f>COUNTIF('2.2 P&amp;L statement'!$B$4:$B$24,'2.1 Database'!$J62)</f>
        <v>1</v>
      </c>
    </row>
    <row r="63" spans="2:12" x14ac:dyDescent="0.2">
      <c r="B63" s="17" t="s">
        <v>176</v>
      </c>
      <c r="C63" s="17" t="s">
        <v>102</v>
      </c>
      <c r="D63" s="17">
        <f>INDEX('1.2 FY2017'!$B$5:$F$86,MATCH($B63,'1.2 FY2017'!$G$5:$G$86,0),2)</f>
        <v>111111</v>
      </c>
      <c r="E63" s="17" t="str">
        <f>INDEX('1.2 FY2017'!$B$5:$F$86,MATCH($B63,'1.2 FY2017'!$G$5:$G$86,0),3)</f>
        <v>External</v>
      </c>
      <c r="F63" s="17">
        <f>-SUMIF('1.1 FY2016'!$G:$G,B63,'1.1 FY2016'!$E:$E)</f>
        <v>0</v>
      </c>
      <c r="G63" s="17">
        <f>-SUMIF('1.2 FY2017'!$G:$G,'2.1 Database'!B63,'1.2 FY2017'!$E:$E)</f>
        <v>-14589.33</v>
      </c>
      <c r="H63" s="17">
        <f>-SUMIF('1.3 FY2018'!$G:$G,'2.1 Database'!B63,'1.3 FY2018'!$E:$E)</f>
        <v>-20504.509999999998</v>
      </c>
      <c r="I63" s="17"/>
      <c r="J63" s="2" t="s">
        <v>230</v>
      </c>
      <c r="L63" s="2">
        <f>COUNTIF('2.2 P&amp;L statement'!$B$4:$B$24,'2.1 Database'!$J63)</f>
        <v>1</v>
      </c>
    </row>
    <row r="64" spans="2:12" x14ac:dyDescent="0.2">
      <c r="B64" s="17" t="s">
        <v>177</v>
      </c>
      <c r="C64" s="17" t="s">
        <v>69</v>
      </c>
      <c r="D64" s="17">
        <f>INDEX('1.2 FY2017'!$B$5:$F$86,MATCH($B64,'1.2 FY2017'!$G$5:$G$86,0),2)</f>
        <v>19</v>
      </c>
      <c r="E64" s="17" t="str">
        <f>INDEX('1.2 FY2017'!$B$5:$F$86,MATCH($B64,'1.2 FY2017'!$G$5:$G$86,0),3)</f>
        <v>Generco Cosmetics Ltd</v>
      </c>
      <c r="F64" s="17">
        <f>-SUMIF('1.1 FY2016'!$G:$G,B64,'1.1 FY2016'!$E:$E)</f>
        <v>0</v>
      </c>
      <c r="G64" s="17">
        <f>-SUMIF('1.2 FY2017'!$G:$G,'2.1 Database'!B64,'1.2 FY2017'!$E:$E)</f>
        <v>-38521</v>
      </c>
      <c r="H64" s="17">
        <f>-SUMIF('1.3 FY2018'!$G:$G,'2.1 Database'!B64,'1.3 FY2018'!$E:$E)</f>
        <v>0</v>
      </c>
      <c r="I64" s="17"/>
      <c r="J64" s="2" t="s">
        <v>230</v>
      </c>
      <c r="L64" s="2">
        <f>COUNTIF('2.2 P&amp;L statement'!$B$4:$B$24,'2.1 Database'!$J64)</f>
        <v>1</v>
      </c>
    </row>
    <row r="65" spans="2:12" x14ac:dyDescent="0.2">
      <c r="B65" s="17" t="s">
        <v>178</v>
      </c>
      <c r="C65" s="17" t="s">
        <v>69</v>
      </c>
      <c r="D65" s="17" t="str">
        <f>INDEX('1.2 FY2017'!$B$5:$F$86,MATCH($B65,'1.2 FY2017'!$G$5:$G$86,0),2)</f>
        <v>1283</v>
      </c>
      <c r="E65" s="17" t="str">
        <f>INDEX('1.2 FY2017'!$B$5:$F$86,MATCH($B65,'1.2 FY2017'!$G$5:$G$86,0),3)</f>
        <v>Generco Ventures Ltd</v>
      </c>
      <c r="F65" s="17">
        <f>-SUMIF('1.1 FY2016'!$G:$G,B65,'1.1 FY2016'!$E:$E)</f>
        <v>0</v>
      </c>
      <c r="G65" s="17">
        <f>-SUMIF('1.2 FY2017'!$G:$G,'2.1 Database'!B65,'1.2 FY2017'!$E:$E)</f>
        <v>-1820</v>
      </c>
      <c r="H65" s="17">
        <f>-SUMIF('1.3 FY2018'!$G:$G,'2.1 Database'!B65,'1.3 FY2018'!$E:$E)</f>
        <v>0</v>
      </c>
      <c r="I65" s="17"/>
      <c r="J65" s="2" t="s">
        <v>230</v>
      </c>
      <c r="L65" s="2">
        <f>COUNTIF('2.2 P&amp;L statement'!$B$4:$B$24,'2.1 Database'!$J65)</f>
        <v>1</v>
      </c>
    </row>
    <row r="66" spans="2:12" x14ac:dyDescent="0.2">
      <c r="B66" s="17" t="s">
        <v>179</v>
      </c>
      <c r="C66" s="17" t="s">
        <v>69</v>
      </c>
      <c r="D66" s="17" t="str">
        <f>INDEX('1.2 FY2017'!$B$5:$F$86,MATCH($B66,'1.2 FY2017'!$G$5:$G$86,0),2)</f>
        <v>1924</v>
      </c>
      <c r="E66" s="17" t="str">
        <f>INDEX('1.2 FY2017'!$B$5:$F$86,MATCH($B66,'1.2 FY2017'!$G$5:$G$86,0),3)</f>
        <v>Generco Infrastructure Ltd</v>
      </c>
      <c r="F66" s="17">
        <f>-SUMIF('1.1 FY2016'!$G:$G,B66,'1.1 FY2016'!$E:$E)</f>
        <v>0</v>
      </c>
      <c r="G66" s="17">
        <f>-SUMIF('1.2 FY2017'!$G:$G,'2.1 Database'!B66,'1.2 FY2017'!$E:$E)</f>
        <v>-10448.129999999999</v>
      </c>
      <c r="H66" s="17">
        <f>-SUMIF('1.3 FY2018'!$G:$G,'2.1 Database'!B66,'1.3 FY2018'!$E:$E)</f>
        <v>-673.34299999999985</v>
      </c>
      <c r="I66" s="17"/>
      <c r="J66" s="2" t="s">
        <v>230</v>
      </c>
      <c r="L66" s="2">
        <f>COUNTIF('2.2 P&amp;L statement'!$B$4:$B$24,'2.1 Database'!$J66)</f>
        <v>1</v>
      </c>
    </row>
    <row r="67" spans="2:12" x14ac:dyDescent="0.2">
      <c r="B67" s="17" t="s">
        <v>180</v>
      </c>
      <c r="C67" s="17" t="s">
        <v>69</v>
      </c>
      <c r="D67" s="17" t="str">
        <f>INDEX('1.2 FY2017'!$B$5:$F$86,MATCH($B67,'1.2 FY2017'!$G$5:$G$86,0),2)</f>
        <v>2486</v>
      </c>
      <c r="E67" s="17" t="str">
        <f>INDEX('1.2 FY2017'!$B$5:$F$86,MATCH($B67,'1.2 FY2017'!$G$5:$G$86,0),3)</f>
        <v>Generco Exloration Ltd</v>
      </c>
      <c r="F67" s="17">
        <f>-SUMIF('1.1 FY2016'!$G:$G,B67,'1.1 FY2016'!$E:$E)</f>
        <v>0</v>
      </c>
      <c r="G67" s="17">
        <f>-SUMIF('1.2 FY2017'!$G:$G,'2.1 Database'!B67,'1.2 FY2017'!$E:$E)</f>
        <v>-10412.5</v>
      </c>
      <c r="H67" s="17">
        <f>-SUMIF('1.3 FY2018'!$G:$G,'2.1 Database'!B67,'1.3 FY2018'!$E:$E)</f>
        <v>0</v>
      </c>
      <c r="I67" s="17"/>
      <c r="J67" s="2" t="s">
        <v>230</v>
      </c>
      <c r="L67" s="2">
        <f>COUNTIF('2.2 P&amp;L statement'!$B$4:$B$24,'2.1 Database'!$J67)</f>
        <v>1</v>
      </c>
    </row>
    <row r="68" spans="2:12" x14ac:dyDescent="0.2">
      <c r="B68" s="17" t="s">
        <v>181</v>
      </c>
      <c r="C68" s="17" t="s">
        <v>15</v>
      </c>
      <c r="D68" s="17">
        <f>INDEX('1.2 FY2017'!$B$5:$F$86,MATCH($B68,'1.2 FY2017'!$G$5:$G$86,0),2)</f>
        <v>111101</v>
      </c>
      <c r="E68" s="17" t="str">
        <f>INDEX('1.2 FY2017'!$B$5:$F$86,MATCH($B68,'1.2 FY2017'!$G$5:$G$86,0),3)</f>
        <v>Not assigned</v>
      </c>
      <c r="F68" s="17">
        <f>-SUMIF('1.1 FY2016'!$G:$G,B68,'1.1 FY2016'!$E:$E)</f>
        <v>0</v>
      </c>
      <c r="G68" s="17">
        <f>-SUMIF('1.2 FY2017'!$G:$G,'2.1 Database'!B68,'1.2 FY2017'!$E:$E)</f>
        <v>-6919.8499999999995</v>
      </c>
      <c r="H68" s="17">
        <f>-SUMIF('1.3 FY2018'!$G:$G,'2.1 Database'!B68,'1.3 FY2018'!$E:$E)</f>
        <v>0</v>
      </c>
      <c r="I68" s="17"/>
      <c r="J68" s="2" t="s">
        <v>231</v>
      </c>
      <c r="L68" s="2">
        <f>COUNTIF('2.2 P&amp;L statement'!$B$4:$B$24,'2.1 Database'!$J68)</f>
        <v>1</v>
      </c>
    </row>
    <row r="69" spans="2:12" x14ac:dyDescent="0.2">
      <c r="B69" s="17" t="s">
        <v>182</v>
      </c>
      <c r="C69" s="17" t="s">
        <v>73</v>
      </c>
      <c r="D69" s="17">
        <f>INDEX('1.2 FY2017'!$B$5:$F$86,MATCH($B69,'1.2 FY2017'!$G$5:$G$86,0),2)</f>
        <v>111101</v>
      </c>
      <c r="E69" s="17" t="str">
        <f>INDEX('1.2 FY2017'!$B$5:$F$86,MATCH($B69,'1.2 FY2017'!$G$5:$G$86,0),3)</f>
        <v>Not assigned</v>
      </c>
      <c r="F69" s="17">
        <f>-SUMIF('1.1 FY2016'!$G:$G,B69,'1.1 FY2016'!$E:$E)</f>
        <v>0</v>
      </c>
      <c r="G69" s="17">
        <f>-SUMIF('1.2 FY2017'!$G:$G,'2.1 Database'!B69,'1.2 FY2017'!$E:$E)</f>
        <v>-146328.94499999998</v>
      </c>
      <c r="H69" s="17">
        <f>-SUMIF('1.3 FY2018'!$G:$G,'2.1 Database'!B69,'1.3 FY2018'!$E:$E)</f>
        <v>-12593.355</v>
      </c>
      <c r="I69" s="17"/>
      <c r="J69" s="2" t="s">
        <v>73</v>
      </c>
      <c r="L69" s="2">
        <f>COUNTIF('2.2 P&amp;L statement'!$B$4:$B$24,'2.1 Database'!$J69)</f>
        <v>1</v>
      </c>
    </row>
    <row r="70" spans="2:12" x14ac:dyDescent="0.2">
      <c r="B70" s="17" t="s">
        <v>183</v>
      </c>
      <c r="C70" s="17" t="s">
        <v>16</v>
      </c>
      <c r="D70" s="17">
        <f>INDEX('1.2 FY2017'!$B$5:$F$86,MATCH($B70,'1.2 FY2017'!$G$5:$G$86,0),2)</f>
        <v>111111</v>
      </c>
      <c r="E70" s="17" t="str">
        <f>INDEX('1.2 FY2017'!$B$5:$F$86,MATCH($B70,'1.2 FY2017'!$G$5:$G$86,0),3)</f>
        <v>External</v>
      </c>
      <c r="F70" s="17">
        <f>-SUMIF('1.1 FY2016'!$G:$G,B70,'1.1 FY2016'!$E:$E)</f>
        <v>0</v>
      </c>
      <c r="G70" s="17">
        <f>-SUMIF('1.2 FY2017'!$G:$G,'2.1 Database'!B70,'1.2 FY2017'!$E:$E)</f>
        <v>121553.07499999998</v>
      </c>
      <c r="H70" s="17">
        <f>-SUMIF('1.3 FY2018'!$G:$G,'2.1 Database'!B70,'1.3 FY2018'!$E:$E)</f>
        <v>0</v>
      </c>
      <c r="I70" s="17"/>
      <c r="J70" s="2" t="s">
        <v>237</v>
      </c>
      <c r="L70" s="2">
        <f>COUNTIF('2.2 P&amp;L statement'!$B$4:$B$24,'2.1 Database'!$J70)</f>
        <v>1</v>
      </c>
    </row>
    <row r="71" spans="2:12" x14ac:dyDescent="0.2">
      <c r="B71" s="17" t="s">
        <v>184</v>
      </c>
      <c r="C71" s="17" t="s">
        <v>74</v>
      </c>
      <c r="D71" s="17">
        <f>INDEX('1.2 FY2017'!$B$5:$F$86,MATCH($B71,'1.2 FY2017'!$G$5:$G$86,0),2)</f>
        <v>19</v>
      </c>
      <c r="E71" s="17" t="str">
        <f>INDEX('1.2 FY2017'!$B$5:$F$86,MATCH($B71,'1.2 FY2017'!$G$5:$G$86,0),3)</f>
        <v>Generco Cosmetics Ltd</v>
      </c>
      <c r="F71" s="17">
        <f>-SUMIF('1.1 FY2016'!$G:$G,B71,'1.1 FY2016'!$E:$E)</f>
        <v>0</v>
      </c>
      <c r="G71" s="17">
        <f>-SUMIF('1.2 FY2017'!$G:$G,'2.1 Database'!B71,'1.2 FY2017'!$E:$E)</f>
        <v>416278.66</v>
      </c>
      <c r="H71" s="17">
        <f>-SUMIF('1.3 FY2018'!$G:$G,'2.1 Database'!B71,'1.3 FY2018'!$E:$E)</f>
        <v>622966.38600000006</v>
      </c>
      <c r="I71" s="17"/>
      <c r="J71" s="2" t="s">
        <v>232</v>
      </c>
      <c r="L71" s="2">
        <f>COUNTIF('2.2 P&amp;L statement'!$B$4:$B$24,'2.1 Database'!$J71)</f>
        <v>1</v>
      </c>
    </row>
    <row r="72" spans="2:12" x14ac:dyDescent="0.2">
      <c r="B72" s="17" t="s">
        <v>185</v>
      </c>
      <c r="C72" s="17" t="s">
        <v>74</v>
      </c>
      <c r="D72" s="17" t="str">
        <f>INDEX('1.2 FY2017'!$B$5:$F$86,MATCH($B72,'1.2 FY2017'!$G$5:$G$86,0),2)</f>
        <v>1076</v>
      </c>
      <c r="E72" s="17" t="str">
        <f>INDEX('1.2 FY2017'!$B$5:$F$86,MATCH($B72,'1.2 FY2017'!$G$5:$G$86,0),3)</f>
        <v>Generco Trading Ltd</v>
      </c>
      <c r="F72" s="17">
        <f>-SUMIF('1.1 FY2016'!$G:$G,B72,'1.1 FY2016'!$E:$E)</f>
        <v>0</v>
      </c>
      <c r="G72" s="17">
        <f>-SUMIF('1.2 FY2017'!$G:$G,'2.1 Database'!B72,'1.2 FY2017'!$E:$E)</f>
        <v>364243.84499999997</v>
      </c>
      <c r="H72" s="17">
        <f>-SUMIF('1.3 FY2018'!$G:$G,'2.1 Database'!B72,'1.3 FY2018'!$E:$E)</f>
        <v>0</v>
      </c>
      <c r="I72" s="17"/>
      <c r="J72" s="2" t="s">
        <v>232</v>
      </c>
      <c r="L72" s="2">
        <f>COUNTIF('2.2 P&amp;L statement'!$B$4:$B$24,'2.1 Database'!$J72)</f>
        <v>1</v>
      </c>
    </row>
    <row r="73" spans="2:12" x14ac:dyDescent="0.2">
      <c r="B73" s="17" t="s">
        <v>186</v>
      </c>
      <c r="C73" s="17" t="s">
        <v>74</v>
      </c>
      <c r="D73" s="17" t="str">
        <f>INDEX('1.2 FY2017'!$B$5:$F$86,MATCH($B73,'1.2 FY2017'!$G$5:$G$86,0),2)</f>
        <v>1086</v>
      </c>
      <c r="E73" s="17" t="str">
        <f>INDEX('1.2 FY2017'!$B$5:$F$86,MATCH($B73,'1.2 FY2017'!$G$5:$G$86,0),3)</f>
        <v>G&amp;Resources Ltd</v>
      </c>
      <c r="F73" s="17">
        <f>-SUMIF('1.1 FY2016'!$G:$G,B73,'1.1 FY2016'!$E:$E)</f>
        <v>0</v>
      </c>
      <c r="G73" s="17">
        <f>-SUMIF('1.2 FY2017'!$G:$G,'2.1 Database'!B73,'1.2 FY2017'!$E:$E)</f>
        <v>0</v>
      </c>
      <c r="H73" s="17">
        <f>-SUMIF('1.3 FY2018'!$G:$G,'2.1 Database'!B73,'1.3 FY2018'!$E:$E)</f>
        <v>0</v>
      </c>
      <c r="I73" s="17"/>
      <c r="J73" s="2" t="s">
        <v>232</v>
      </c>
      <c r="L73" s="2">
        <f>COUNTIF('2.2 P&amp;L statement'!$B$4:$B$24,'2.1 Database'!$J73)</f>
        <v>1</v>
      </c>
    </row>
    <row r="74" spans="2:12" x14ac:dyDescent="0.2">
      <c r="B74" s="17" t="s">
        <v>187</v>
      </c>
      <c r="C74" s="17" t="s">
        <v>74</v>
      </c>
      <c r="D74" s="17" t="str">
        <f>INDEX('1.2 FY2017'!$B$5:$F$86,MATCH($B74,'1.2 FY2017'!$G$5:$G$86,0),2)</f>
        <v>47037</v>
      </c>
      <c r="E74" s="17" t="str">
        <f>INDEX('1.2 FY2017'!$B$5:$F$86,MATCH($B74,'1.2 FY2017'!$G$5:$G$86,0),3)</f>
        <v>G&amp;CR Global Ltd</v>
      </c>
      <c r="F74" s="17">
        <f>-SUMIF('1.1 FY2016'!$G:$G,B74,'1.1 FY2016'!$E:$E)</f>
        <v>0</v>
      </c>
      <c r="G74" s="17">
        <f>-SUMIF('1.2 FY2017'!$G:$G,'2.1 Database'!B74,'1.2 FY2017'!$E:$E)</f>
        <v>482611.04499999998</v>
      </c>
      <c r="H74" s="17">
        <f>-SUMIF('1.3 FY2018'!$G:$G,'2.1 Database'!B74,'1.3 FY2018'!$E:$E)</f>
        <v>1948832.1429999999</v>
      </c>
      <c r="I74" s="17"/>
      <c r="J74" s="2" t="s">
        <v>232</v>
      </c>
      <c r="L74" s="2">
        <f>COUNTIF('2.2 P&amp;L statement'!$B$4:$B$24,'2.1 Database'!$J74)</f>
        <v>1</v>
      </c>
    </row>
    <row r="75" spans="2:12" x14ac:dyDescent="0.2">
      <c r="B75" s="17" t="s">
        <v>188</v>
      </c>
      <c r="C75" s="17" t="s">
        <v>75</v>
      </c>
      <c r="D75" s="17">
        <f>INDEX('1.2 FY2017'!$B$5:$F$86,MATCH($B75,'1.2 FY2017'!$G$5:$G$86,0),2)</f>
        <v>88</v>
      </c>
      <c r="E75" s="17" t="str">
        <f>INDEX('1.2 FY2017'!$B$5:$F$86,MATCH($B75,'1.2 FY2017'!$G$5:$G$86,0),3)</f>
        <v>Generco Ltd</v>
      </c>
      <c r="F75" s="17">
        <f>-SUMIF('1.1 FY2016'!$G:$G,B75,'1.1 FY2016'!$E:$E)</f>
        <v>0</v>
      </c>
      <c r="G75" s="17">
        <f>-SUMIF('1.2 FY2017'!$G:$G,'2.1 Database'!B75,'1.2 FY2017'!$E:$E)</f>
        <v>2436.35</v>
      </c>
      <c r="H75" s="17">
        <f>-SUMIF('1.3 FY2018'!$G:$G,'2.1 Database'!B75,'1.3 FY2018'!$E:$E)</f>
        <v>0</v>
      </c>
      <c r="I75" s="17"/>
      <c r="J75" s="2" t="s">
        <v>75</v>
      </c>
      <c r="L75" s="2">
        <f>COUNTIF('2.2 P&amp;L statement'!$B$4:$B$24,'2.1 Database'!$J75)</f>
        <v>1</v>
      </c>
    </row>
    <row r="76" spans="2:12" x14ac:dyDescent="0.2">
      <c r="B76" s="17" t="s">
        <v>189</v>
      </c>
      <c r="C76" s="17" t="s">
        <v>19</v>
      </c>
      <c r="D76" s="17">
        <f>INDEX('1.2 FY2017'!$B$5:$F$86,MATCH($B76,'1.2 FY2017'!$G$5:$G$86,0),2)</f>
        <v>111101</v>
      </c>
      <c r="E76" s="17" t="str">
        <f>INDEX('1.2 FY2017'!$B$5:$F$86,MATCH($B76,'1.2 FY2017'!$G$5:$G$86,0),3)</f>
        <v>Not assigned</v>
      </c>
      <c r="F76" s="17">
        <f>-SUMIF('1.1 FY2016'!$G:$G,B76,'1.1 FY2016'!$E:$E)</f>
        <v>0</v>
      </c>
      <c r="G76" s="17">
        <f>-SUMIF('1.2 FY2017'!$G:$G,'2.1 Database'!B76,'1.2 FY2017'!$E:$E)</f>
        <v>-81.339999999999989</v>
      </c>
      <c r="H76" s="17">
        <f>-SUMIF('1.3 FY2018'!$G:$G,'2.1 Database'!B76,'1.3 FY2018'!$E:$E)</f>
        <v>0</v>
      </c>
      <c r="I76" s="17"/>
      <c r="J76" s="2" t="s">
        <v>230</v>
      </c>
      <c r="L76" s="2">
        <f>COUNTIF('2.2 P&amp;L statement'!$B$4:$B$24,'2.1 Database'!$J76)</f>
        <v>1</v>
      </c>
    </row>
    <row r="77" spans="2:12" x14ac:dyDescent="0.2">
      <c r="B77" s="17" t="s">
        <v>190</v>
      </c>
      <c r="C77" s="17" t="s">
        <v>79</v>
      </c>
      <c r="D77" s="17">
        <f>INDEX('1.2 FY2017'!$B$5:$F$86,MATCH($B77,'1.2 FY2017'!$G$5:$G$86,0),2)</f>
        <v>105</v>
      </c>
      <c r="E77" s="17" t="str">
        <f>INDEX('1.2 FY2017'!$B$5:$F$86,MATCH($B77,'1.2 FY2017'!$G$5:$G$86,0),3)</f>
        <v>Generco Healthcare Ltd</v>
      </c>
      <c r="F77" s="17">
        <f>-SUMIF('1.1 FY2016'!$G:$G,B77,'1.1 FY2016'!$E:$E)</f>
        <v>0</v>
      </c>
      <c r="G77" s="17">
        <f>-SUMIF('1.2 FY2017'!$G:$G,'2.1 Database'!B77,'1.2 FY2017'!$E:$E)</f>
        <v>-276920</v>
      </c>
      <c r="H77" s="17">
        <f>-SUMIF('1.3 FY2018'!$G:$G,'2.1 Database'!B77,'1.3 FY2018'!$E:$E)</f>
        <v>-473575.46100000001</v>
      </c>
      <c r="I77" s="17"/>
      <c r="J77" s="2" t="s">
        <v>233</v>
      </c>
      <c r="L77" s="2">
        <f>COUNTIF('2.2 P&amp;L statement'!$B$4:$B$24,'2.1 Database'!$J77)</f>
        <v>1</v>
      </c>
    </row>
    <row r="78" spans="2:12" x14ac:dyDescent="0.2">
      <c r="B78" s="17" t="s">
        <v>191</v>
      </c>
      <c r="C78" s="17" t="s">
        <v>80</v>
      </c>
      <c r="D78" s="17">
        <f>INDEX('1.2 FY2017'!$B$5:$F$86,MATCH($B78,'1.2 FY2017'!$G$5:$G$86,0),2)</f>
        <v>1900</v>
      </c>
      <c r="E78" s="17" t="str">
        <f>INDEX('1.2 FY2017'!$B$5:$F$86,MATCH($B78,'1.2 FY2017'!$G$5:$G$86,0),3)</f>
        <v>Generco Metals Gm</v>
      </c>
      <c r="F78" s="17">
        <f>-SUMIF('1.1 FY2016'!$G:$G,B78,'1.1 FY2016'!$E:$E)</f>
        <v>0</v>
      </c>
      <c r="G78" s="17">
        <f>-SUMIF('1.2 FY2017'!$G:$G,'2.1 Database'!B78,'1.2 FY2017'!$E:$E)</f>
        <v>0</v>
      </c>
      <c r="H78" s="17">
        <f>-SUMIF('1.3 FY2018'!$G:$G,'2.1 Database'!B78,'1.3 FY2018'!$E:$E)</f>
        <v>0</v>
      </c>
      <c r="I78" s="17"/>
      <c r="J78" s="2" t="s">
        <v>230</v>
      </c>
      <c r="L78" s="2">
        <f>COUNTIF('2.2 P&amp;L statement'!$B$4:$B$24,'2.1 Database'!$J78)</f>
        <v>1</v>
      </c>
    </row>
    <row r="79" spans="2:12" x14ac:dyDescent="0.2">
      <c r="B79" s="17" t="s">
        <v>192</v>
      </c>
      <c r="C79" s="17" t="s">
        <v>9</v>
      </c>
      <c r="D79" s="17" t="str">
        <f>INDEX('1.2 FY2017'!$B$5:$F$86,MATCH($B79,'1.2 FY2017'!$G$5:$G$86,0),2)</f>
        <v>1118</v>
      </c>
      <c r="E79" s="17" t="str">
        <f>INDEX('1.2 FY2017'!$B$5:$F$86,MATCH($B79,'1.2 FY2017'!$G$5:$G$86,0),3)</f>
        <v>Gener Green LLC</v>
      </c>
      <c r="F79" s="17">
        <f>-SUMIF('1.1 FY2016'!$G:$G,B79,'1.1 FY2016'!$E:$E)</f>
        <v>0</v>
      </c>
      <c r="G79" s="17">
        <f>-SUMIF('1.2 FY2017'!$G:$G,'2.1 Database'!B79,'1.2 FY2017'!$E:$E)</f>
        <v>-23928.799999999999</v>
      </c>
      <c r="H79" s="17">
        <f>-SUMIF('1.3 FY2018'!$G:$G,'2.1 Database'!B79,'1.3 FY2018'!$E:$E)</f>
        <v>0</v>
      </c>
      <c r="I79" s="17"/>
      <c r="J79" s="2" t="s">
        <v>234</v>
      </c>
      <c r="L79" s="2">
        <f>COUNTIF('2.2 P&amp;L statement'!$B$4:$B$24,'2.1 Database'!$J79)</f>
        <v>1</v>
      </c>
    </row>
    <row r="80" spans="2:12" x14ac:dyDescent="0.2">
      <c r="B80" s="17" t="s">
        <v>193</v>
      </c>
      <c r="C80" s="17" t="s">
        <v>21</v>
      </c>
      <c r="D80" s="17">
        <f>INDEX('1.2 FY2017'!$B$5:$F$86,MATCH($B80,'1.2 FY2017'!$G$5:$G$86,0),2)</f>
        <v>111111</v>
      </c>
      <c r="E80" s="17" t="str">
        <f>INDEX('1.2 FY2017'!$B$5:$F$86,MATCH($B80,'1.2 FY2017'!$G$5:$G$86,0),3)</f>
        <v>External</v>
      </c>
      <c r="F80" s="17">
        <f>-SUMIF('1.1 FY2016'!$G:$G,B80,'1.1 FY2016'!$E:$E)</f>
        <v>0</v>
      </c>
      <c r="G80" s="17">
        <f>-SUMIF('1.2 FY2017'!$G:$G,'2.1 Database'!B80,'1.2 FY2017'!$E:$E)</f>
        <v>-308232</v>
      </c>
      <c r="H80" s="17">
        <f>-SUMIF('1.3 FY2018'!$G:$G,'2.1 Database'!B80,'1.3 FY2018'!$E:$E)</f>
        <v>0</v>
      </c>
      <c r="I80" s="17"/>
      <c r="J80" s="2" t="s">
        <v>237</v>
      </c>
      <c r="L80" s="2">
        <f>COUNTIF('2.2 P&amp;L statement'!$B$4:$B$24,'2.1 Database'!$J80)</f>
        <v>1</v>
      </c>
    </row>
    <row r="81" spans="2:12" x14ac:dyDescent="0.2">
      <c r="B81" s="17" t="s">
        <v>194</v>
      </c>
      <c r="C81" s="17" t="s">
        <v>22</v>
      </c>
      <c r="D81" s="17">
        <f>INDEX('1.2 FY2017'!$B$5:$F$86,MATCH($B81,'1.2 FY2017'!$G$5:$G$86,0),2)</f>
        <v>19</v>
      </c>
      <c r="E81" s="17" t="str">
        <f>INDEX('1.2 FY2017'!$B$5:$F$86,MATCH($B81,'1.2 FY2017'!$G$5:$G$86,0),3)</f>
        <v>Generco Cosmetics Ltd</v>
      </c>
      <c r="F81" s="17">
        <f>-SUMIF('1.1 FY2016'!$G:$G,B81,'1.1 FY2016'!$E:$E)</f>
        <v>0</v>
      </c>
      <c r="G81" s="17">
        <f>-SUMIF('1.2 FY2017'!$G:$G,'2.1 Database'!B81,'1.2 FY2017'!$E:$E)</f>
        <v>-13422.779999999999</v>
      </c>
      <c r="H81" s="17">
        <f>-SUMIF('1.3 FY2018'!$G:$G,'2.1 Database'!B81,'1.3 FY2018'!$E:$E)</f>
        <v>0</v>
      </c>
      <c r="I81" s="17"/>
      <c r="J81" s="2" t="s">
        <v>230</v>
      </c>
      <c r="L81" s="2">
        <f>COUNTIF('2.2 P&amp;L statement'!$B$4:$B$24,'2.1 Database'!$J81)</f>
        <v>1</v>
      </c>
    </row>
    <row r="82" spans="2:12" x14ac:dyDescent="0.2">
      <c r="B82" s="17" t="s">
        <v>195</v>
      </c>
      <c r="C82" s="17" t="s">
        <v>22</v>
      </c>
      <c r="D82" s="17">
        <f>INDEX('1.2 FY2017'!$B$5:$F$86,MATCH($B82,'1.2 FY2017'!$G$5:$G$86,0),2)</f>
        <v>111111</v>
      </c>
      <c r="E82" s="17" t="str">
        <f>INDEX('1.2 FY2017'!$B$5:$F$86,MATCH($B82,'1.2 FY2017'!$G$5:$G$86,0),3)</f>
        <v>External</v>
      </c>
      <c r="F82" s="17">
        <f>-SUMIF('1.1 FY2016'!$G:$G,B82,'1.1 FY2016'!$E:$E)</f>
        <v>0</v>
      </c>
      <c r="G82" s="17">
        <f>-SUMIF('1.2 FY2017'!$G:$G,'2.1 Database'!B82,'1.2 FY2017'!$E:$E)</f>
        <v>-4045.6150000000002</v>
      </c>
      <c r="H82" s="17">
        <f>-SUMIF('1.3 FY2018'!$G:$G,'2.1 Database'!B82,'1.3 FY2018'!$E:$E)</f>
        <v>0</v>
      </c>
      <c r="I82" s="17"/>
      <c r="J82" s="2" t="s">
        <v>230</v>
      </c>
      <c r="L82" s="2">
        <f>COUNTIF('2.2 P&amp;L statement'!$B$4:$B$24,'2.1 Database'!$J82)</f>
        <v>1</v>
      </c>
    </row>
    <row r="83" spans="2:12" x14ac:dyDescent="0.2">
      <c r="B83" s="17" t="s">
        <v>196</v>
      </c>
      <c r="C83" s="17" t="s">
        <v>23</v>
      </c>
      <c r="D83" s="17">
        <f>INDEX('1.2 FY2017'!$B$5:$F$86,MATCH($B83,'1.2 FY2017'!$G$5:$G$86,0),2)</f>
        <v>111111</v>
      </c>
      <c r="E83" s="17" t="str">
        <f>INDEX('1.2 FY2017'!$B$5:$F$86,MATCH($B83,'1.2 FY2017'!$G$5:$G$86,0),3)</f>
        <v>External</v>
      </c>
      <c r="F83" s="17">
        <f>-SUMIF('1.1 FY2016'!$G:$G,B83,'1.1 FY2016'!$E:$E)</f>
        <v>0</v>
      </c>
      <c r="G83" s="17">
        <f>-SUMIF('1.2 FY2017'!$G:$G,'2.1 Database'!B83,'1.2 FY2017'!$E:$E)</f>
        <v>-49621.144999999997</v>
      </c>
      <c r="H83" s="17">
        <f>-SUMIF('1.3 FY2018'!$G:$G,'2.1 Database'!B83,'1.3 FY2018'!$E:$E)</f>
        <v>0</v>
      </c>
      <c r="I83" s="17"/>
      <c r="J83" s="2" t="s">
        <v>230</v>
      </c>
      <c r="L83" s="2">
        <f>COUNTIF('2.2 P&amp;L statement'!$B$4:$B$24,'2.1 Database'!$J83)</f>
        <v>1</v>
      </c>
    </row>
    <row r="84" spans="2:12" x14ac:dyDescent="0.2">
      <c r="B84" s="17" t="s">
        <v>197</v>
      </c>
      <c r="C84" s="17" t="s">
        <v>85</v>
      </c>
      <c r="D84" s="17">
        <f>INDEX('1.2 FY2017'!$B$5:$F$86,MATCH($B84,'1.2 FY2017'!$G$5:$G$86,0),2)</f>
        <v>19</v>
      </c>
      <c r="E84" s="17" t="str">
        <f>INDEX('1.2 FY2017'!$B$5:$F$86,MATCH($B84,'1.2 FY2017'!$G$5:$G$86,0),3)</f>
        <v>Generco Cosmetics Ltd</v>
      </c>
      <c r="F84" s="17">
        <f>-SUMIF('1.1 FY2016'!$G:$G,B84,'1.1 FY2016'!$E:$E)</f>
        <v>0</v>
      </c>
      <c r="G84" s="17">
        <f>-SUMIF('1.2 FY2017'!$G:$G,'2.1 Database'!B84,'1.2 FY2017'!$E:$E)</f>
        <v>-85462.684999999998</v>
      </c>
      <c r="H84" s="17">
        <f>-SUMIF('1.3 FY2018'!$G:$G,'2.1 Database'!B84,'1.3 FY2018'!$E:$E)</f>
        <v>0</v>
      </c>
      <c r="I84" s="17"/>
      <c r="J84" s="2" t="s">
        <v>230</v>
      </c>
      <c r="L84" s="2">
        <f>COUNTIF('2.2 P&amp;L statement'!$B$4:$B$24,'2.1 Database'!$J84)</f>
        <v>1</v>
      </c>
    </row>
    <row r="85" spans="2:12" x14ac:dyDescent="0.2">
      <c r="B85" s="17" t="s">
        <v>198</v>
      </c>
      <c r="C85" s="17" t="s">
        <v>85</v>
      </c>
      <c r="D85" s="17" t="str">
        <f>INDEX('1.2 FY2017'!$B$5:$F$86,MATCH($B85,'1.2 FY2017'!$G$5:$G$86,0),2)</f>
        <v>43</v>
      </c>
      <c r="E85" s="17" t="str">
        <f>INDEX('1.2 FY2017'!$B$5:$F$86,MATCH($B85,'1.2 FY2017'!$G$5:$G$86,0),3)</f>
        <v>Greeny France SL</v>
      </c>
      <c r="F85" s="17">
        <f>-SUMIF('1.1 FY2016'!$G:$G,B85,'1.1 FY2016'!$E:$E)</f>
        <v>0</v>
      </c>
      <c r="G85" s="17">
        <f>-SUMIF('1.2 FY2017'!$G:$G,'2.1 Database'!B85,'1.2 FY2017'!$E:$E)</f>
        <v>-11422.144999999999</v>
      </c>
      <c r="H85" s="17">
        <f>-SUMIF('1.3 FY2018'!$G:$G,'2.1 Database'!B85,'1.3 FY2018'!$E:$E)</f>
        <v>0</v>
      </c>
      <c r="I85" s="17"/>
      <c r="J85" s="2" t="s">
        <v>230</v>
      </c>
      <c r="L85" s="2">
        <f>COUNTIF('2.2 P&amp;L statement'!$B$4:$B$24,'2.1 Database'!$J85)</f>
        <v>1</v>
      </c>
    </row>
    <row r="86" spans="2:12" x14ac:dyDescent="0.2">
      <c r="B86" s="17" t="s">
        <v>199</v>
      </c>
      <c r="C86" s="17" t="s">
        <v>85</v>
      </c>
      <c r="D86" s="17" t="str">
        <f>INDEX('1.2 FY2017'!$B$5:$F$86,MATCH($B86,'1.2 FY2017'!$G$5:$G$86,0),2)</f>
        <v>1924</v>
      </c>
      <c r="E86" s="17" t="str">
        <f>INDEX('1.2 FY2017'!$B$5:$F$86,MATCH($B86,'1.2 FY2017'!$G$5:$G$86,0),3)</f>
        <v>Generco Infrastructure Ltd</v>
      </c>
      <c r="F86" s="17">
        <f>-SUMIF('1.1 FY2016'!$G:$G,B86,'1.1 FY2016'!$E:$E)</f>
        <v>0</v>
      </c>
      <c r="G86" s="17">
        <f>-SUMIF('1.2 FY2017'!$G:$G,'2.1 Database'!B86,'1.2 FY2017'!$E:$E)</f>
        <v>-84438.864999999991</v>
      </c>
      <c r="H86" s="17">
        <f>-SUMIF('1.3 FY2018'!$G:$G,'2.1 Database'!B86,'1.3 FY2018'!$E:$E)</f>
        <v>0</v>
      </c>
      <c r="I86" s="17"/>
      <c r="J86" s="2" t="s">
        <v>230</v>
      </c>
      <c r="L86" s="2">
        <f>COUNTIF('2.2 P&amp;L statement'!$B$4:$B$24,'2.1 Database'!$J86)</f>
        <v>1</v>
      </c>
    </row>
    <row r="87" spans="2:12" x14ac:dyDescent="0.2">
      <c r="B87" s="17" t="s">
        <v>200</v>
      </c>
      <c r="C87" s="17" t="s">
        <v>86</v>
      </c>
      <c r="D87" s="17" t="str">
        <f>INDEX('1.2 FY2017'!$B$5:$F$86,MATCH($B87,'1.2 FY2017'!$G$5:$G$86,0),2)</f>
        <v>1086</v>
      </c>
      <c r="E87" s="17" t="str">
        <f>INDEX('1.2 FY2017'!$B$5:$F$86,MATCH($B87,'1.2 FY2017'!$G$5:$G$86,0),3)</f>
        <v>G&amp;Resources Ltd</v>
      </c>
      <c r="F87" s="17">
        <f>-SUMIF('1.1 FY2016'!$G:$G,B87,'1.1 FY2016'!$E:$E)</f>
        <v>0</v>
      </c>
      <c r="G87" s="17">
        <f>-SUMIF('1.2 FY2017'!$G:$G,'2.1 Database'!B87,'1.2 FY2017'!$E:$E)</f>
        <v>0</v>
      </c>
      <c r="H87" s="17">
        <f>-SUMIF('1.3 FY2018'!$G:$G,'2.1 Database'!B87,'1.3 FY2018'!$E:$E)</f>
        <v>0</v>
      </c>
      <c r="I87" s="17"/>
      <c r="J87" s="2" t="s">
        <v>235</v>
      </c>
      <c r="L87" s="2">
        <f>COUNTIF('2.2 P&amp;L statement'!$B$4:$B$24,'2.1 Database'!$J87)</f>
        <v>0</v>
      </c>
    </row>
    <row r="88" spans="2:12" x14ac:dyDescent="0.2">
      <c r="B88" s="17" t="s">
        <v>201</v>
      </c>
      <c r="C88" s="17" t="s">
        <v>87</v>
      </c>
      <c r="D88" s="17" t="str">
        <f>INDEX('1.2 FY2017'!$B$5:$F$86,MATCH($B88,'1.2 FY2017'!$G$5:$G$86,0),2)</f>
        <v>1086</v>
      </c>
      <c r="E88" s="17" t="str">
        <f>INDEX('1.2 FY2017'!$B$5:$F$86,MATCH($B88,'1.2 FY2017'!$G$5:$G$86,0),3)</f>
        <v>G&amp;Resources Ltd</v>
      </c>
      <c r="F88" s="17">
        <f>-SUMIF('1.1 FY2016'!$G:$G,B88,'1.1 FY2016'!$E:$E)</f>
        <v>0</v>
      </c>
      <c r="G88" s="17">
        <f>-SUMIF('1.2 FY2017'!$G:$G,'2.1 Database'!B88,'1.2 FY2017'!$E:$E)</f>
        <v>0</v>
      </c>
      <c r="H88" s="17">
        <f>-SUMIF('1.3 FY2018'!$G:$G,'2.1 Database'!B88,'1.3 FY2018'!$E:$E)</f>
        <v>0</v>
      </c>
      <c r="I88" s="17"/>
      <c r="J88" s="2" t="s">
        <v>236</v>
      </c>
      <c r="L88" s="2">
        <f>COUNTIF('2.2 P&amp;L statement'!$B$4:$B$24,'2.1 Database'!$J88)</f>
        <v>1</v>
      </c>
    </row>
    <row r="89" spans="2:12" x14ac:dyDescent="0.2">
      <c r="B89" s="17" t="s">
        <v>202</v>
      </c>
      <c r="C89" s="17" t="s">
        <v>87</v>
      </c>
      <c r="D89" s="17">
        <f>INDEX('1.2 FY2017'!$B$5:$F$86,MATCH($B89,'1.2 FY2017'!$G$5:$G$86,0),2)</f>
        <v>1006</v>
      </c>
      <c r="E89" s="17" t="str">
        <f>INDEX('1.2 FY2017'!$B$5:$F$86,MATCH($B89,'1.2 FY2017'!$G$5:$G$86,0),3)</f>
        <v>Generco Mining GmbH</v>
      </c>
      <c r="F89" s="17">
        <f>-SUMIF('1.1 FY2016'!$G:$G,B89,'1.1 FY2016'!$E:$E)</f>
        <v>0</v>
      </c>
      <c r="G89" s="17">
        <f>-SUMIF('1.2 FY2017'!$G:$G,'2.1 Database'!B89,'1.2 FY2017'!$E:$E)</f>
        <v>6778.415</v>
      </c>
      <c r="H89" s="17">
        <f>-SUMIF('1.3 FY2018'!$G:$G,'2.1 Database'!B89,'1.3 FY2018'!$E:$E)</f>
        <v>0</v>
      </c>
      <c r="I89" s="17"/>
      <c r="J89" s="2" t="s">
        <v>236</v>
      </c>
      <c r="L89" s="2">
        <f>COUNTIF('2.2 P&amp;L statement'!$B$4:$B$24,'2.1 Database'!$J89)</f>
        <v>1</v>
      </c>
    </row>
    <row r="90" spans="2:12" x14ac:dyDescent="0.2">
      <c r="B90" s="17" t="s">
        <v>203</v>
      </c>
      <c r="C90" s="17" t="s">
        <v>89</v>
      </c>
      <c r="D90" s="17">
        <f>INDEX('1.2 FY2017'!$B$5:$F$86,MATCH($B90,'1.2 FY2017'!$G$5:$G$86,0),2)</f>
        <v>1007</v>
      </c>
      <c r="E90" s="17" t="str">
        <f>INDEX('1.2 FY2017'!$B$5:$F$86,MATCH($B90,'1.2 FY2017'!$G$5:$G$86,0),3)</f>
        <v>Generco Semiconductors Ltd</v>
      </c>
      <c r="F90" s="17">
        <f>-SUMIF('1.1 FY2016'!$G:$G,B90,'1.1 FY2016'!$E:$E)</f>
        <v>0</v>
      </c>
      <c r="G90" s="17">
        <f>-SUMIF('1.2 FY2017'!$G:$G,'2.1 Database'!B90,'1.2 FY2017'!$E:$E)</f>
        <v>0</v>
      </c>
      <c r="H90" s="17">
        <f>-SUMIF('1.3 FY2018'!$G:$G,'2.1 Database'!B90,'1.3 FY2018'!$E:$E)</f>
        <v>0</v>
      </c>
      <c r="I90" s="17"/>
      <c r="J90" s="2" t="s">
        <v>236</v>
      </c>
      <c r="L90" s="2">
        <f>COUNTIF('2.2 P&amp;L statement'!$B$4:$B$24,'2.1 Database'!$J90)</f>
        <v>1</v>
      </c>
    </row>
    <row r="91" spans="2:12" x14ac:dyDescent="0.2">
      <c r="B91" s="17" t="s">
        <v>204</v>
      </c>
      <c r="C91" s="17" t="s">
        <v>89</v>
      </c>
      <c r="D91" s="17">
        <f>INDEX('1.2 FY2017'!$B$5:$F$86,MATCH($B91,'1.2 FY2017'!$G$5:$G$86,0),2)</f>
        <v>111111</v>
      </c>
      <c r="E91" s="17" t="str">
        <f>INDEX('1.2 FY2017'!$B$5:$F$86,MATCH($B91,'1.2 FY2017'!$G$5:$G$86,0),3)</f>
        <v>External</v>
      </c>
      <c r="F91" s="17">
        <f>-SUMIF('1.1 FY2016'!$G:$G,B91,'1.1 FY2016'!$E:$E)</f>
        <v>0</v>
      </c>
      <c r="G91" s="17">
        <f>-SUMIF('1.2 FY2017'!$G:$G,'2.1 Database'!B91,'1.2 FY2017'!$E:$E)</f>
        <v>-1250.7950000000001</v>
      </c>
      <c r="H91" s="17">
        <f>-SUMIF('1.3 FY2018'!$G:$G,'2.1 Database'!B91,'1.3 FY2018'!$E:$E)</f>
        <v>-51.454999999999998</v>
      </c>
      <c r="I91" s="17"/>
      <c r="J91" s="2" t="s">
        <v>236</v>
      </c>
      <c r="L91" s="2">
        <f>COUNTIF('2.2 P&amp;L statement'!$B$4:$B$24,'2.1 Database'!$J91)</f>
        <v>1</v>
      </c>
    </row>
    <row r="92" spans="2:12" x14ac:dyDescent="0.2">
      <c r="B92" s="17" t="s">
        <v>205</v>
      </c>
      <c r="C92" s="17" t="s">
        <v>103</v>
      </c>
      <c r="D92" s="17">
        <f>INDEX('1.2 FY2017'!$B$5:$F$86,MATCH($B92,'1.2 FY2017'!$G$5:$G$86,0),2)</f>
        <v>1240</v>
      </c>
      <c r="E92" s="17" t="str">
        <f>INDEX('1.2 FY2017'!$B$5:$F$86,MATCH($B92,'1.2 FY2017'!$G$5:$G$86,0),3)</f>
        <v xml:space="preserve">Generco UK </v>
      </c>
      <c r="F92" s="17">
        <f>-SUMIF('1.1 FY2016'!$G:$G,B92,'1.1 FY2016'!$E:$E)</f>
        <v>0</v>
      </c>
      <c r="G92" s="17">
        <f>-SUMIF('1.2 FY2017'!$G:$G,'2.1 Database'!B92,'1.2 FY2017'!$E:$E)</f>
        <v>-4130000</v>
      </c>
      <c r="H92" s="17">
        <f>-SUMIF('1.3 FY2018'!$G:$G,'2.1 Database'!B92,'1.3 FY2018'!$E:$E)</f>
        <v>0</v>
      </c>
      <c r="I92" s="17"/>
      <c r="J92" s="2" t="s">
        <v>237</v>
      </c>
      <c r="L92" s="2">
        <f>COUNTIF('2.2 P&amp;L statement'!$B$4:$B$24,'2.1 Database'!$J92)</f>
        <v>1</v>
      </c>
    </row>
    <row r="93" spans="2:12" x14ac:dyDescent="0.2">
      <c r="B93" s="17" t="s">
        <v>206</v>
      </c>
      <c r="C93" s="17" t="s">
        <v>24</v>
      </c>
      <c r="D93" s="17">
        <f>INDEX('1.2 FY2017'!$B$5:$F$86,MATCH($B93,'1.2 FY2017'!$G$5:$G$86,0),2)</f>
        <v>111101</v>
      </c>
      <c r="E93" s="17" t="str">
        <f>INDEX('1.2 FY2017'!$B$5:$F$86,MATCH($B93,'1.2 FY2017'!$G$5:$G$86,0),3)</f>
        <v>Not assigned</v>
      </c>
      <c r="F93" s="17">
        <f>-SUMIF('1.1 FY2016'!$G:$G,B93,'1.1 FY2016'!$E:$E)</f>
        <v>0</v>
      </c>
      <c r="G93" s="17">
        <f>-SUMIF('1.2 FY2017'!$G:$G,'2.1 Database'!B93,'1.2 FY2017'!$E:$E)</f>
        <v>0</v>
      </c>
      <c r="H93" s="17">
        <f>-SUMIF('1.3 FY2018'!$G:$G,'2.1 Database'!B93,'1.3 FY2018'!$E:$E)</f>
        <v>0</v>
      </c>
      <c r="I93" s="17"/>
      <c r="J93" s="2" t="s">
        <v>240</v>
      </c>
      <c r="L93" s="2">
        <f>COUNTIF('2.2 P&amp;L statement'!$B$4:$B$24,'2.1 Database'!$J93)</f>
        <v>0</v>
      </c>
    </row>
    <row r="94" spans="2:12" x14ac:dyDescent="0.2">
      <c r="B94" s="17" t="s">
        <v>207</v>
      </c>
      <c r="C94" s="17" t="s">
        <v>65</v>
      </c>
      <c r="D94" s="17">
        <f>INDEX('1.2 FY2017'!$B$5:$F$86,MATCH($B94,'1.2 FY2017'!$G$5:$G$86,0),2)</f>
        <v>111101</v>
      </c>
      <c r="E94" s="17" t="str">
        <f>INDEX('1.2 FY2017'!$B$5:$F$86,MATCH($B94,'1.2 FY2017'!$G$5:$G$86,0),3)</f>
        <v>Not assigned</v>
      </c>
      <c r="F94" s="17">
        <f>SUMIF('1.1 FY2016'!$G:$G,B94,'1.1 FY2016'!$E:$E)</f>
        <v>0</v>
      </c>
      <c r="G94" s="17">
        <f>SUMIF('1.2 FY2017'!$G:$G,'2.1 Database'!B94,'1.2 FY2017'!$E:$E)</f>
        <v>6073808.1600000001</v>
      </c>
      <c r="H94" s="17">
        <f>SUMIF('1.3 FY2018'!$G:$G,'2.1 Database'!B94,'1.3 FY2018'!$E:$E)</f>
        <v>-779290.47600000002</v>
      </c>
      <c r="I94" s="17"/>
      <c r="J94" s="2" t="s">
        <v>239</v>
      </c>
      <c r="L94" s="2">
        <f>COUNTIF('2.2 P&amp;L statement'!$B$4:$B$24,'2.1 Database'!$J94)</f>
        <v>1</v>
      </c>
    </row>
    <row r="95" spans="2:12" x14ac:dyDescent="0.2">
      <c r="B95" s="17" t="s">
        <v>208</v>
      </c>
      <c r="C95" s="17" t="s">
        <v>25</v>
      </c>
      <c r="D95" s="17">
        <f>INDEX('1.3 FY2018'!$B$5:$F$78,MATCH($B95,'1.3 FY2018'!$G$5:$G$78,0),2)</f>
        <v>111111</v>
      </c>
      <c r="E95" s="17" t="str">
        <f>INDEX('1.3 FY2018'!$B$5:$F$78,MATCH($B95,'1.3 FY2018'!$G$5:$G$78,0),3)</f>
        <v>External</v>
      </c>
      <c r="F95" s="17">
        <f>-SUMIF('1.1 FY2016'!$G:$G,B95,'1.1 FY2016'!$E:$E)</f>
        <v>0</v>
      </c>
      <c r="G95" s="17">
        <f>-SUMIF('1.2 FY2017'!$G:$G,'2.1 Database'!B95,'1.2 FY2017'!$E:$E)</f>
        <v>0</v>
      </c>
      <c r="H95" s="17">
        <f>-SUMIF('1.3 FY2018'!$G:$G,'2.1 Database'!B95,'1.3 FY2018'!$E:$E)</f>
        <v>-13691.949999999999</v>
      </c>
      <c r="I95" s="17"/>
      <c r="J95" s="2" t="s">
        <v>230</v>
      </c>
      <c r="L95" s="2">
        <f>COUNTIF('2.2 P&amp;L statement'!$B$4:$B$24,'2.1 Database'!$J95)</f>
        <v>1</v>
      </c>
    </row>
    <row r="96" spans="2:12" x14ac:dyDescent="0.2">
      <c r="B96" s="17" t="s">
        <v>209</v>
      </c>
      <c r="C96" s="17" t="s">
        <v>69</v>
      </c>
      <c r="D96" s="17" t="str">
        <f>INDEX('1.3 FY2018'!$B$5:$F$78,MATCH($B96,'1.3 FY2018'!$G$5:$G$78,0),2)</f>
        <v>2185</v>
      </c>
      <c r="E96" s="17" t="str">
        <f>INDEX('1.3 FY2018'!$B$5:$F$78,MATCH($B96,'1.3 FY2018'!$G$5:$G$78,0),3)</f>
        <v>Generco Green Projects GmbH</v>
      </c>
      <c r="F96" s="17">
        <f>-SUMIF('1.1 FY2016'!$G:$G,B96,'1.1 FY2016'!$E:$E)</f>
        <v>0</v>
      </c>
      <c r="G96" s="17">
        <f>-SUMIF('1.2 FY2017'!$G:$G,'2.1 Database'!B96,'1.2 FY2017'!$E:$E)</f>
        <v>0</v>
      </c>
      <c r="H96" s="17">
        <f>-SUMIF('1.3 FY2018'!$G:$G,'2.1 Database'!B96,'1.3 FY2018'!$E:$E)</f>
        <v>-192017.14499999996</v>
      </c>
      <c r="I96" s="17"/>
      <c r="J96" s="2" t="s">
        <v>230</v>
      </c>
      <c r="L96" s="2">
        <f>COUNTIF('2.2 P&amp;L statement'!$B$4:$B$24,'2.1 Database'!$J96)</f>
        <v>1</v>
      </c>
    </row>
    <row r="97" spans="2:12" x14ac:dyDescent="0.2">
      <c r="B97" s="17" t="s">
        <v>210</v>
      </c>
      <c r="C97" s="17" t="s">
        <v>69</v>
      </c>
      <c r="D97" s="17" t="str">
        <f>INDEX('1.3 FY2018'!$B$5:$F$78,MATCH($B97,'1.3 FY2018'!$G$5:$G$78,0),2)</f>
        <v>2240</v>
      </c>
      <c r="E97" s="17" t="str">
        <f>INDEX('1.3 FY2018'!$B$5:$F$78,MATCH($B97,'1.3 FY2018'!$G$5:$G$78,0),3)</f>
        <v>Greeny Germany GmbH</v>
      </c>
      <c r="F97" s="17">
        <f>-SUMIF('1.1 FY2016'!$G:$G,B97,'1.1 FY2016'!$E:$E)</f>
        <v>0</v>
      </c>
      <c r="G97" s="17">
        <f>-SUMIF('1.2 FY2017'!$G:$G,'2.1 Database'!B97,'1.2 FY2017'!$E:$E)</f>
        <v>0</v>
      </c>
      <c r="H97" s="17">
        <f>-SUMIF('1.3 FY2018'!$G:$G,'2.1 Database'!B97,'1.3 FY2018'!$E:$E)</f>
        <v>-375290.46599999996</v>
      </c>
      <c r="I97" s="17"/>
      <c r="J97" s="2" t="s">
        <v>230</v>
      </c>
      <c r="L97" s="2">
        <f>COUNTIF('2.2 P&amp;L statement'!$B$4:$B$24,'2.1 Database'!$J97)</f>
        <v>1</v>
      </c>
    </row>
    <row r="98" spans="2:12" x14ac:dyDescent="0.2">
      <c r="B98" s="17" t="s">
        <v>211</v>
      </c>
      <c r="C98" s="17" t="s">
        <v>69</v>
      </c>
      <c r="D98" s="17">
        <f>INDEX('1.3 FY2018'!$B$5:$F$78,MATCH($B98,'1.3 FY2018'!$G$5:$G$78,0),2)</f>
        <v>17000</v>
      </c>
      <c r="E98" s="17" t="str">
        <f>INDEX('1.3 FY2018'!$B$5:$F$78,MATCH($B98,'1.3 FY2018'!$G$5:$G$78,0),3)</f>
        <v>Generco Risk Management Ltd</v>
      </c>
      <c r="F98" s="17">
        <f>-SUMIF('1.1 FY2016'!$G:$G,B98,'1.1 FY2016'!$E:$E)</f>
        <v>0</v>
      </c>
      <c r="G98" s="17">
        <f>-SUMIF('1.2 FY2017'!$G:$G,'2.1 Database'!B98,'1.2 FY2017'!$E:$E)</f>
        <v>0</v>
      </c>
      <c r="H98" s="17">
        <f>-SUMIF('1.3 FY2018'!$G:$G,'2.1 Database'!B98,'1.3 FY2018'!$E:$E)</f>
        <v>-4920</v>
      </c>
      <c r="I98" s="17"/>
      <c r="J98" s="2" t="s">
        <v>230</v>
      </c>
      <c r="L98" s="2">
        <f>COUNTIF('2.2 P&amp;L statement'!$B$4:$B$24,'2.1 Database'!$J98)</f>
        <v>1</v>
      </c>
    </row>
    <row r="99" spans="2:12" x14ac:dyDescent="0.2">
      <c r="B99" s="17" t="s">
        <v>212</v>
      </c>
      <c r="C99" s="17" t="s">
        <v>22</v>
      </c>
      <c r="D99" s="17" t="str">
        <f>INDEX('1.3 FY2018'!$B$5:$F$78,MATCH($B99,'1.3 FY2018'!$G$5:$G$78,0),2)</f>
        <v>1118</v>
      </c>
      <c r="E99" s="17" t="str">
        <f>INDEX('1.3 FY2018'!$B$5:$F$78,MATCH($B99,'1.3 FY2018'!$G$5:$G$78,0),3)</f>
        <v>Gener Green LLC</v>
      </c>
      <c r="F99" s="17">
        <f>-SUMIF('1.1 FY2016'!$G:$G,B99,'1.1 FY2016'!$E:$E)</f>
        <v>0</v>
      </c>
      <c r="G99" s="17">
        <f>-SUMIF('1.2 FY2017'!$G:$G,'2.1 Database'!B99,'1.2 FY2017'!$E:$E)</f>
        <v>0</v>
      </c>
      <c r="H99" s="17">
        <f>-SUMIF('1.3 FY2018'!$G:$G,'2.1 Database'!B99,'1.3 FY2018'!$E:$E)</f>
        <v>0</v>
      </c>
      <c r="I99" s="17"/>
      <c r="J99" s="2" t="s">
        <v>230</v>
      </c>
      <c r="L99" s="2">
        <f>COUNTIF('2.2 P&amp;L statement'!$B$4:$B$24,'2.1 Database'!$J99)</f>
        <v>1</v>
      </c>
    </row>
    <row r="100" spans="2:12" x14ac:dyDescent="0.2">
      <c r="B100" s="17" t="s">
        <v>213</v>
      </c>
      <c r="C100" s="17" t="s">
        <v>22</v>
      </c>
      <c r="D100" s="17">
        <f>INDEX('1.3 FY2018'!$B$5:$F$78,MATCH($B100,'1.3 FY2018'!$G$5:$G$78,0),2)</f>
        <v>111111</v>
      </c>
      <c r="E100" s="17" t="str">
        <f>INDEX('1.3 FY2018'!$B$5:$F$78,MATCH($B100,'1.3 FY2018'!$G$5:$G$78,0),3)</f>
        <v>External</v>
      </c>
      <c r="F100" s="17">
        <f>-SUMIF('1.1 FY2016'!$G:$G,B100,'1.1 FY2016'!$E:$E)</f>
        <v>0</v>
      </c>
      <c r="G100" s="17">
        <f>-SUMIF('1.2 FY2017'!$G:$G,'2.1 Database'!B100,'1.2 FY2017'!$E:$E)</f>
        <v>0</v>
      </c>
      <c r="H100" s="17">
        <f>-SUMIF('1.3 FY2018'!$G:$G,'2.1 Database'!B100,'1.3 FY2018'!$E:$E)</f>
        <v>1252.8369999999998</v>
      </c>
      <c r="I100" s="17"/>
      <c r="J100" s="2" t="s">
        <v>230</v>
      </c>
      <c r="L100" s="2">
        <f>COUNTIF('2.2 P&amp;L statement'!$B$4:$B$24,'2.1 Database'!$J100)</f>
        <v>1</v>
      </c>
    </row>
    <row r="101" spans="2:12" x14ac:dyDescent="0.2">
      <c r="B101" s="17" t="s">
        <v>214</v>
      </c>
      <c r="C101" s="17" t="s">
        <v>74</v>
      </c>
      <c r="D101" s="17">
        <f>INDEX('1.3 FY2018'!$B$5:$F$78,MATCH($B101,'1.3 FY2018'!$G$5:$G$78,0),2)</f>
        <v>1006</v>
      </c>
      <c r="E101" s="17" t="str">
        <f>INDEX('1.3 FY2018'!$B$5:$F$78,MATCH($B101,'1.3 FY2018'!$G$5:$G$78,0),3)</f>
        <v>Generco Mining GmbH</v>
      </c>
      <c r="F101" s="17">
        <f>-SUMIF('1.1 FY2016'!$G:$G,B101,'1.1 FY2016'!$E:$E)</f>
        <v>0</v>
      </c>
      <c r="G101" s="17">
        <f>-SUMIF('1.2 FY2017'!$G:$G,'2.1 Database'!B101,'1.2 FY2017'!$E:$E)</f>
        <v>0</v>
      </c>
      <c r="H101" s="17">
        <f>-SUMIF('1.3 FY2018'!$G:$G,'2.1 Database'!B101,'1.3 FY2018'!$E:$E)</f>
        <v>0</v>
      </c>
      <c r="I101" s="17"/>
      <c r="J101" s="2" t="s">
        <v>232</v>
      </c>
      <c r="L101" s="2">
        <f>COUNTIF('2.2 P&amp;L statement'!$B$4:$B$24,'2.1 Database'!$J101)</f>
        <v>1</v>
      </c>
    </row>
    <row r="102" spans="2:12" x14ac:dyDescent="0.2">
      <c r="B102" s="17" t="s">
        <v>215</v>
      </c>
      <c r="C102" s="17" t="s">
        <v>27</v>
      </c>
      <c r="D102" s="17">
        <f>INDEX('1.3 FY2018'!$B$5:$F$78,MATCH($B102,'1.3 FY2018'!$G$5:$G$78,0),2)</f>
        <v>111111</v>
      </c>
      <c r="E102" s="17" t="str">
        <f>INDEX('1.3 FY2018'!$B$5:$F$78,MATCH($B102,'1.3 FY2018'!$G$5:$G$78,0),3)</f>
        <v>External</v>
      </c>
      <c r="F102" s="17">
        <f>-SUMIF('1.1 FY2016'!$G:$G,B102,'1.1 FY2016'!$E:$E)</f>
        <v>0</v>
      </c>
      <c r="G102" s="17">
        <f>-SUMIF('1.2 FY2017'!$G:$G,'2.1 Database'!B102,'1.2 FY2017'!$E:$E)</f>
        <v>0</v>
      </c>
      <c r="H102" s="17">
        <f>-SUMIF('1.3 FY2018'!$G:$G,'2.1 Database'!B102,'1.3 FY2018'!$E:$E)</f>
        <v>61499.999999999993</v>
      </c>
      <c r="I102" s="17"/>
      <c r="J102" s="2" t="s">
        <v>230</v>
      </c>
      <c r="L102" s="2">
        <f>COUNTIF('2.2 P&amp;L statement'!$B$4:$B$24,'2.1 Database'!$J102)</f>
        <v>1</v>
      </c>
    </row>
    <row r="103" spans="2:12" x14ac:dyDescent="0.2">
      <c r="B103" s="17" t="s">
        <v>216</v>
      </c>
      <c r="C103" s="17" t="s">
        <v>75</v>
      </c>
      <c r="D103" s="17">
        <f>INDEX('1.3 FY2018'!$B$5:$F$78,MATCH($B103,'1.3 FY2018'!$G$5:$G$78,0),2)</f>
        <v>105</v>
      </c>
      <c r="E103" s="17" t="str">
        <f>INDEX('1.3 FY2018'!$B$5:$F$78,MATCH($B103,'1.3 FY2018'!$G$5:$G$78,0),3)</f>
        <v>Generco Healthcare Ltd</v>
      </c>
      <c r="F103" s="17">
        <f>-SUMIF('1.1 FY2016'!$G:$G,B103,'1.1 FY2016'!$E:$E)</f>
        <v>0</v>
      </c>
      <c r="G103" s="17">
        <f>-SUMIF('1.2 FY2017'!$G:$G,'2.1 Database'!B103,'1.2 FY2017'!$E:$E)</f>
        <v>0</v>
      </c>
      <c r="H103" s="17">
        <f>-SUMIF('1.3 FY2018'!$G:$G,'2.1 Database'!B103,'1.3 FY2018'!$E:$E)</f>
        <v>30913.425999999996</v>
      </c>
      <c r="I103" s="17"/>
      <c r="J103" s="2" t="s">
        <v>75</v>
      </c>
      <c r="L103" s="2">
        <f>COUNTIF('2.2 P&amp;L statement'!$B$4:$B$24,'2.1 Database'!$J103)</f>
        <v>1</v>
      </c>
    </row>
    <row r="104" spans="2:12" x14ac:dyDescent="0.2">
      <c r="B104" s="17" t="s">
        <v>217</v>
      </c>
      <c r="C104" s="17" t="s">
        <v>78</v>
      </c>
      <c r="D104" s="17">
        <f>INDEX('1.3 FY2018'!$B$5:$F$78,MATCH($B104,'1.3 FY2018'!$G$5:$G$78,0),2)</f>
        <v>105</v>
      </c>
      <c r="E104" s="17" t="str">
        <f>INDEX('1.3 FY2018'!$B$5:$F$78,MATCH($B104,'1.3 FY2018'!$G$5:$G$78,0),3)</f>
        <v>Generco Healthcare Ltd</v>
      </c>
      <c r="F104" s="17">
        <f>-SUMIF('1.1 FY2016'!$G:$G,B104,'1.1 FY2016'!$E:$E)</f>
        <v>0</v>
      </c>
      <c r="G104" s="17">
        <f>-SUMIF('1.2 FY2017'!$G:$G,'2.1 Database'!B104,'1.2 FY2017'!$E:$E)</f>
        <v>0</v>
      </c>
      <c r="H104" s="17">
        <f>-SUMIF('1.3 FY2018'!$G:$G,'2.1 Database'!B104,'1.3 FY2018'!$E:$E)</f>
        <v>1423120</v>
      </c>
      <c r="I104" s="17"/>
      <c r="J104" s="2" t="s">
        <v>78</v>
      </c>
      <c r="L104" s="2">
        <f>COUNTIF('2.2 P&amp;L statement'!$B$4:$B$24,'2.1 Database'!$J104)</f>
        <v>1</v>
      </c>
    </row>
    <row r="105" spans="2:12" x14ac:dyDescent="0.2">
      <c r="B105" s="17" t="s">
        <v>218</v>
      </c>
      <c r="C105" s="17" t="s">
        <v>80</v>
      </c>
      <c r="D105" s="17">
        <f>INDEX('1.3 FY2018'!$B$5:$F$78,MATCH($B105,'1.3 FY2018'!$G$5:$G$78,0),2)</f>
        <v>88</v>
      </c>
      <c r="E105" s="17" t="str">
        <f>INDEX('1.3 FY2018'!$B$5:$F$78,MATCH($B105,'1.3 FY2018'!$G$5:$G$78,0),3)</f>
        <v>Generco Ltd</v>
      </c>
      <c r="F105" s="17">
        <f>-SUMIF('1.1 FY2016'!$G:$G,B105,'1.1 FY2016'!$E:$E)</f>
        <v>0</v>
      </c>
      <c r="G105" s="17">
        <f>-SUMIF('1.2 FY2017'!$G:$G,'2.1 Database'!B105,'1.2 FY2017'!$E:$E)</f>
        <v>0</v>
      </c>
      <c r="H105" s="17">
        <f>-SUMIF('1.3 FY2018'!$G:$G,'2.1 Database'!B105,'1.3 FY2018'!$E:$E)</f>
        <v>-584.66</v>
      </c>
      <c r="I105" s="17"/>
      <c r="J105" s="2" t="s">
        <v>230</v>
      </c>
      <c r="L105" s="2">
        <f>COUNTIF('2.2 P&amp;L statement'!$B$4:$B$24,'2.1 Database'!$J105)</f>
        <v>1</v>
      </c>
    </row>
    <row r="106" spans="2:12" x14ac:dyDescent="0.2">
      <c r="B106" s="17" t="s">
        <v>219</v>
      </c>
      <c r="C106" s="17" t="s">
        <v>28</v>
      </c>
      <c r="D106" s="17">
        <f>INDEX('1.3 FY2018'!$B$5:$F$78,MATCH($B106,'1.3 FY2018'!$G$5:$G$78,0),2)</f>
        <v>111111</v>
      </c>
      <c r="E106" s="17" t="str">
        <f>INDEX('1.3 FY2018'!$B$5:$F$78,MATCH($B106,'1.3 FY2018'!$G$5:$G$78,0),3)</f>
        <v>External</v>
      </c>
      <c r="F106" s="17">
        <f>-SUMIF('1.1 FY2016'!$G:$G,B106,'1.1 FY2016'!$E:$E)</f>
        <v>0</v>
      </c>
      <c r="G106" s="17">
        <f>-SUMIF('1.2 FY2017'!$G:$G,'2.1 Database'!B106,'1.2 FY2017'!$E:$E)</f>
        <v>0</v>
      </c>
      <c r="H106" s="17">
        <f>-SUMIF('1.3 FY2018'!$G:$G,'2.1 Database'!B106,'1.3 FY2018'!$E:$E)</f>
        <v>-1352.9999999999998</v>
      </c>
      <c r="I106" s="17"/>
      <c r="J106" s="2" t="s">
        <v>230</v>
      </c>
      <c r="L106" s="2">
        <f>COUNTIF('2.2 P&amp;L statement'!$B$4:$B$24,'2.1 Database'!$J106)</f>
        <v>1</v>
      </c>
    </row>
    <row r="107" spans="2:12" x14ac:dyDescent="0.2">
      <c r="B107" s="17" t="s">
        <v>220</v>
      </c>
      <c r="C107" s="17" t="s">
        <v>103</v>
      </c>
      <c r="D107" s="17">
        <f>INDEX('1.3 FY2018'!$B$5:$F$78,MATCH($B107,'1.3 FY2018'!$G$5:$G$78,0),2)</f>
        <v>111101</v>
      </c>
      <c r="E107" s="17" t="str">
        <f>INDEX('1.3 FY2018'!$B$5:$F$78,MATCH($B107,'1.3 FY2018'!$G$5:$G$78,0),3)</f>
        <v>Not assigned</v>
      </c>
      <c r="F107" s="17">
        <f>-SUMIF('1.1 FY2016'!$G:$G,B107,'1.1 FY2016'!$E:$E)</f>
        <v>0</v>
      </c>
      <c r="G107" s="17">
        <f>-SUMIF('1.2 FY2017'!$G:$G,'2.1 Database'!B107,'1.2 FY2017'!$E:$E)</f>
        <v>0</v>
      </c>
      <c r="H107" s="17">
        <f>-SUMIF('1.3 FY2018'!$G:$G,'2.1 Database'!B107,'1.3 FY2018'!$E:$E)</f>
        <v>0</v>
      </c>
      <c r="I107" s="17"/>
      <c r="J107" s="2" t="s">
        <v>237</v>
      </c>
      <c r="L107" s="2">
        <f>COUNTIF('2.2 P&amp;L statement'!$B$4:$B$24,'2.1 Database'!$J107)</f>
        <v>1</v>
      </c>
    </row>
    <row r="108" spans="2:12" x14ac:dyDescent="0.2">
      <c r="B108" s="17" t="s">
        <v>221</v>
      </c>
      <c r="C108" s="17" t="s">
        <v>29</v>
      </c>
      <c r="D108" s="17">
        <f>INDEX('1.3 FY2018'!$B$5:$F$78,MATCH($B108,'1.3 FY2018'!$G$5:$G$78,0),2)</f>
        <v>111101</v>
      </c>
      <c r="E108" s="17" t="str">
        <f>INDEX('1.3 FY2018'!$B$5:$F$78,MATCH($B108,'1.3 FY2018'!$G$5:$G$78,0),3)</f>
        <v>Not assigned</v>
      </c>
      <c r="F108" s="17">
        <f>-SUMIF('1.1 FY2016'!$G:$G,B108,'1.1 FY2016'!$E:$E)</f>
        <v>0</v>
      </c>
      <c r="G108" s="17">
        <f>-SUMIF('1.2 FY2017'!$G:$G,'2.1 Database'!B108,'1.2 FY2017'!$E:$E)</f>
        <v>0</v>
      </c>
      <c r="H108" s="17">
        <f>-SUMIF('1.3 FY2018'!$G:$G,'2.1 Database'!B108,'1.3 FY2018'!$E:$E)</f>
        <v>0</v>
      </c>
      <c r="I108" s="17"/>
      <c r="J108" s="2" t="s">
        <v>241</v>
      </c>
    </row>
    <row r="109" spans="2:12" ht="14.4" x14ac:dyDescent="0.3">
      <c r="B109" s="1"/>
    </row>
    <row r="110" spans="2:12" ht="14.4" x14ac:dyDescent="0.3">
      <c r="B110" s="1"/>
    </row>
    <row r="111" spans="2:12" ht="14.4" x14ac:dyDescent="0.3">
      <c r="B111" s="1"/>
    </row>
    <row r="112" spans="2:12" ht="14.4" x14ac:dyDescent="0.3">
      <c r="B112" s="1"/>
    </row>
    <row r="113" spans="2:2" ht="14.4" x14ac:dyDescent="0.3">
      <c r="B113" s="1"/>
    </row>
    <row r="114" spans="2:2" ht="14.4" x14ac:dyDescent="0.3">
      <c r="B114" s="1"/>
    </row>
    <row r="115" spans="2:2" ht="14.4" x14ac:dyDescent="0.3">
      <c r="B115" s="1"/>
    </row>
    <row r="116" spans="2:2" ht="14.4" x14ac:dyDescent="0.3">
      <c r="B116" s="1"/>
    </row>
    <row r="117" spans="2:2" ht="14.4" x14ac:dyDescent="0.3">
      <c r="B117" s="1"/>
    </row>
    <row r="118" spans="2:2" ht="14.4" x14ac:dyDescent="0.3">
      <c r="B118" s="1"/>
    </row>
    <row r="119" spans="2:2" ht="14.4" x14ac:dyDescent="0.3">
      <c r="B119" s="1" t="s">
        <v>222</v>
      </c>
    </row>
    <row r="120" spans="2:2" ht="14.4" x14ac:dyDescent="0.3">
      <c r="B120" s="1" t="s">
        <v>223</v>
      </c>
    </row>
    <row r="121" spans="2:2" ht="14.4" x14ac:dyDescent="0.3">
      <c r="B121" s="1" t="s">
        <v>227</v>
      </c>
    </row>
    <row r="122" spans="2:2" ht="14.4" x14ac:dyDescent="0.3">
      <c r="B122" s="1"/>
    </row>
    <row r="123" spans="2:2" ht="14.4" x14ac:dyDescent="0.3">
      <c r="B123" s="1"/>
    </row>
    <row r="124" spans="2:2" ht="14.4" x14ac:dyDescent="0.3">
      <c r="B124" s="1"/>
    </row>
    <row r="125" spans="2:2" ht="14.4" x14ac:dyDescent="0.3">
      <c r="B125" s="1"/>
    </row>
    <row r="126" spans="2:2" ht="14.4" x14ac:dyDescent="0.3">
      <c r="B126" s="1"/>
    </row>
    <row r="127" spans="2:2" ht="14.4" x14ac:dyDescent="0.3">
      <c r="B127" s="1"/>
    </row>
    <row r="128" spans="2:2" ht="14.4" x14ac:dyDescent="0.3">
      <c r="B128" s="1"/>
    </row>
    <row r="129" spans="2:4" ht="14.4" x14ac:dyDescent="0.3">
      <c r="B129" s="1"/>
    </row>
    <row r="130" spans="2:4" ht="14.4" x14ac:dyDescent="0.3">
      <c r="B130" s="1"/>
    </row>
    <row r="131" spans="2:4" ht="14.4" x14ac:dyDescent="0.3">
      <c r="B131" s="1"/>
    </row>
    <row r="132" spans="2:4" ht="14.4" x14ac:dyDescent="0.3">
      <c r="B132" s="1"/>
    </row>
    <row r="133" spans="2:4" ht="15" thickBot="1" x14ac:dyDescent="0.35">
      <c r="B133" s="1"/>
      <c r="C133" s="24" t="s">
        <v>112</v>
      </c>
      <c r="D133" s="24" t="s">
        <v>228</v>
      </c>
    </row>
    <row r="134" spans="2:4" ht="15" thickTop="1" x14ac:dyDescent="0.3">
      <c r="B134" s="1"/>
      <c r="C134" s="25" t="s">
        <v>66</v>
      </c>
      <c r="D134" s="25" t="s">
        <v>229</v>
      </c>
    </row>
    <row r="135" spans="2:4" ht="14.4" x14ac:dyDescent="0.3">
      <c r="B135" s="1"/>
      <c r="C135" s="25" t="s">
        <v>67</v>
      </c>
      <c r="D135" s="25" t="s">
        <v>67</v>
      </c>
    </row>
    <row r="136" spans="2:4" ht="14.4" x14ac:dyDescent="0.3">
      <c r="B136" s="1"/>
      <c r="C136" s="25" t="s">
        <v>68</v>
      </c>
      <c r="D136" s="25" t="s">
        <v>68</v>
      </c>
    </row>
    <row r="137" spans="2:4" ht="14.4" x14ac:dyDescent="0.3">
      <c r="B137" s="1"/>
      <c r="C137" s="25" t="s">
        <v>101</v>
      </c>
      <c r="D137" s="25" t="s">
        <v>101</v>
      </c>
    </row>
    <row r="138" spans="2:4" ht="14.4" x14ac:dyDescent="0.3">
      <c r="B138" s="1"/>
      <c r="C138" s="25" t="s">
        <v>70</v>
      </c>
      <c r="D138" s="25" t="s">
        <v>230</v>
      </c>
    </row>
    <row r="139" spans="2:4" ht="14.4" x14ac:dyDescent="0.3">
      <c r="B139" s="1"/>
      <c r="C139" s="25" t="s">
        <v>69</v>
      </c>
      <c r="D139" s="25" t="s">
        <v>230</v>
      </c>
    </row>
    <row r="140" spans="2:4" ht="14.4" x14ac:dyDescent="0.3">
      <c r="B140" s="1"/>
      <c r="C140" s="25" t="s">
        <v>2</v>
      </c>
      <c r="D140" s="25" t="s">
        <v>231</v>
      </c>
    </row>
    <row r="141" spans="2:4" ht="14.4" x14ac:dyDescent="0.3">
      <c r="B141" s="1"/>
      <c r="C141" s="25" t="s">
        <v>71</v>
      </c>
      <c r="D141" s="25" t="s">
        <v>231</v>
      </c>
    </row>
    <row r="142" spans="2:4" ht="14.4" x14ac:dyDescent="0.3">
      <c r="B142" s="1"/>
      <c r="C142" s="25" t="s">
        <v>72</v>
      </c>
      <c r="D142" s="25" t="s">
        <v>231</v>
      </c>
    </row>
    <row r="143" spans="2:4" ht="14.4" x14ac:dyDescent="0.3">
      <c r="B143" s="1"/>
      <c r="C143" s="25" t="s">
        <v>73</v>
      </c>
      <c r="D143" s="25" t="s">
        <v>73</v>
      </c>
    </row>
    <row r="144" spans="2:4" ht="14.4" x14ac:dyDescent="0.3">
      <c r="B144" s="1"/>
      <c r="C144" s="2" t="s">
        <v>74</v>
      </c>
      <c r="D144" s="2" t="s">
        <v>232</v>
      </c>
    </row>
    <row r="145" spans="2:4" ht="14.4" x14ac:dyDescent="0.3">
      <c r="B145" s="1"/>
      <c r="C145" s="2" t="s">
        <v>75</v>
      </c>
      <c r="D145" s="2" t="s">
        <v>75</v>
      </c>
    </row>
    <row r="146" spans="2:4" ht="14.4" x14ac:dyDescent="0.3">
      <c r="B146" s="1"/>
      <c r="C146" s="2" t="s">
        <v>76</v>
      </c>
      <c r="D146" s="2" t="s">
        <v>230</v>
      </c>
    </row>
    <row r="147" spans="2:4" ht="14.4" x14ac:dyDescent="0.3">
      <c r="B147" s="1"/>
      <c r="C147" s="2" t="s">
        <v>77</v>
      </c>
      <c r="D147" s="2" t="s">
        <v>230</v>
      </c>
    </row>
    <row r="148" spans="2:4" ht="14.4" x14ac:dyDescent="0.3">
      <c r="B148" s="1"/>
      <c r="C148" s="2" t="s">
        <v>78</v>
      </c>
      <c r="D148" s="2" t="s">
        <v>78</v>
      </c>
    </row>
    <row r="149" spans="2:4" ht="14.4" x14ac:dyDescent="0.3">
      <c r="B149" s="1"/>
      <c r="C149" s="2" t="s">
        <v>79</v>
      </c>
      <c r="D149" s="2" t="s">
        <v>233</v>
      </c>
    </row>
    <row r="150" spans="2:4" ht="14.4" x14ac:dyDescent="0.3">
      <c r="B150" s="1"/>
      <c r="C150" s="2" t="s">
        <v>8</v>
      </c>
      <c r="D150" s="2" t="s">
        <v>230</v>
      </c>
    </row>
    <row r="151" spans="2:4" ht="14.4" x14ac:dyDescent="0.3">
      <c r="B151" s="1"/>
      <c r="C151" s="2" t="s">
        <v>80</v>
      </c>
      <c r="D151" s="2" t="s">
        <v>230</v>
      </c>
    </row>
    <row r="152" spans="2:4" ht="14.4" x14ac:dyDescent="0.3">
      <c r="B152" s="1"/>
      <c r="C152" s="2" t="s">
        <v>9</v>
      </c>
      <c r="D152" s="2" t="s">
        <v>234</v>
      </c>
    </row>
    <row r="153" spans="2:4" ht="14.4" x14ac:dyDescent="0.3">
      <c r="B153" s="1"/>
      <c r="C153" s="2" t="s">
        <v>81</v>
      </c>
      <c r="D153" s="2" t="s">
        <v>230</v>
      </c>
    </row>
    <row r="154" spans="2:4" ht="14.4" x14ac:dyDescent="0.3">
      <c r="B154" s="1"/>
      <c r="C154" s="2" t="s">
        <v>82</v>
      </c>
      <c r="D154" s="2" t="s">
        <v>230</v>
      </c>
    </row>
    <row r="155" spans="2:4" ht="14.4" x14ac:dyDescent="0.3">
      <c r="B155" s="1"/>
      <c r="C155" s="2" t="s">
        <v>83</v>
      </c>
      <c r="D155" s="2" t="s">
        <v>230</v>
      </c>
    </row>
    <row r="156" spans="2:4" ht="14.4" x14ac:dyDescent="0.3">
      <c r="B156" s="1"/>
      <c r="C156" s="2" t="s">
        <v>84</v>
      </c>
      <c r="D156" s="2" t="s">
        <v>230</v>
      </c>
    </row>
    <row r="157" spans="2:4" ht="14.4" x14ac:dyDescent="0.3">
      <c r="B157" s="1"/>
      <c r="C157" s="2" t="s">
        <v>85</v>
      </c>
      <c r="D157" s="2" t="s">
        <v>230</v>
      </c>
    </row>
    <row r="158" spans="2:4" ht="14.4" x14ac:dyDescent="0.3">
      <c r="B158" s="1"/>
      <c r="C158" s="2" t="s">
        <v>86</v>
      </c>
      <c r="D158" s="2" t="s">
        <v>235</v>
      </c>
    </row>
    <row r="159" spans="2:4" ht="14.4" x14ac:dyDescent="0.3">
      <c r="B159" s="1"/>
      <c r="C159" s="2" t="s">
        <v>87</v>
      </c>
      <c r="D159" s="2" t="s">
        <v>236</v>
      </c>
    </row>
    <row r="160" spans="2:4" ht="14.4" x14ac:dyDescent="0.3">
      <c r="B160" s="1"/>
      <c r="C160" s="2" t="s">
        <v>10</v>
      </c>
      <c r="D160" s="2" t="s">
        <v>68</v>
      </c>
    </row>
    <row r="161" spans="2:4" ht="14.4" x14ac:dyDescent="0.3">
      <c r="B161" s="1"/>
      <c r="C161" s="2" t="s">
        <v>88</v>
      </c>
      <c r="D161" s="2" t="s">
        <v>237</v>
      </c>
    </row>
    <row r="162" spans="2:4" ht="14.4" x14ac:dyDescent="0.3">
      <c r="B162" s="1"/>
      <c r="C162" s="2" t="s">
        <v>89</v>
      </c>
      <c r="D162" s="2" t="s">
        <v>236</v>
      </c>
    </row>
    <row r="163" spans="2:4" ht="14.4" x14ac:dyDescent="0.3">
      <c r="B163" s="1"/>
      <c r="C163" s="2" t="s">
        <v>90</v>
      </c>
      <c r="D163" s="2" t="s">
        <v>238</v>
      </c>
    </row>
    <row r="164" spans="2:4" ht="14.4" x14ac:dyDescent="0.3">
      <c r="B164" s="1"/>
      <c r="C164" s="2" t="s">
        <v>91</v>
      </c>
      <c r="D164" s="2" t="s">
        <v>238</v>
      </c>
    </row>
    <row r="165" spans="2:4" ht="14.4" x14ac:dyDescent="0.3">
      <c r="B165" s="1"/>
      <c r="C165" s="2" t="s">
        <v>92</v>
      </c>
      <c r="D165" s="2" t="s">
        <v>238</v>
      </c>
    </row>
    <row r="166" spans="2:4" ht="14.4" x14ac:dyDescent="0.3">
      <c r="B166" s="1"/>
      <c r="C166" s="2" t="s">
        <v>65</v>
      </c>
      <c r="D166" s="2" t="s">
        <v>239</v>
      </c>
    </row>
    <row r="167" spans="2:4" ht="14.4" x14ac:dyDescent="0.3">
      <c r="B167" s="1"/>
      <c r="C167" s="2" t="s">
        <v>102</v>
      </c>
      <c r="D167" s="2" t="s">
        <v>230</v>
      </c>
    </row>
    <row r="168" spans="2:4" ht="14.4" x14ac:dyDescent="0.3">
      <c r="B168" s="1"/>
      <c r="C168" s="2" t="s">
        <v>15</v>
      </c>
      <c r="D168" s="2" t="s">
        <v>231</v>
      </c>
    </row>
    <row r="169" spans="2:4" ht="14.4" x14ac:dyDescent="0.3">
      <c r="B169" s="1"/>
      <c r="C169" s="2" t="s">
        <v>16</v>
      </c>
      <c r="D169" s="2" t="s">
        <v>237</v>
      </c>
    </row>
    <row r="170" spans="2:4" ht="14.4" x14ac:dyDescent="0.3">
      <c r="B170" s="1"/>
      <c r="C170" s="2" t="s">
        <v>19</v>
      </c>
      <c r="D170" s="2" t="s">
        <v>230</v>
      </c>
    </row>
    <row r="171" spans="2:4" ht="14.4" x14ac:dyDescent="0.3">
      <c r="B171" s="1"/>
      <c r="C171" s="2" t="s">
        <v>21</v>
      </c>
      <c r="D171" s="2" t="s">
        <v>237</v>
      </c>
    </row>
    <row r="172" spans="2:4" ht="14.4" x14ac:dyDescent="0.3">
      <c r="B172" s="1"/>
      <c r="C172" s="2" t="s">
        <v>22</v>
      </c>
      <c r="D172" s="2" t="s">
        <v>230</v>
      </c>
    </row>
    <row r="173" spans="2:4" ht="14.4" x14ac:dyDescent="0.3">
      <c r="B173" s="1"/>
      <c r="C173" s="2" t="s">
        <v>23</v>
      </c>
      <c r="D173" s="2" t="s">
        <v>230</v>
      </c>
    </row>
    <row r="174" spans="2:4" ht="14.4" x14ac:dyDescent="0.3">
      <c r="B174" s="1"/>
      <c r="C174" s="2" t="s">
        <v>103</v>
      </c>
      <c r="D174" s="2" t="s">
        <v>237</v>
      </c>
    </row>
    <row r="175" spans="2:4" ht="14.4" x14ac:dyDescent="0.3">
      <c r="B175" s="1"/>
      <c r="C175" s="2" t="s">
        <v>24</v>
      </c>
      <c r="D175" s="2" t="s">
        <v>240</v>
      </c>
    </row>
    <row r="176" spans="2:4" ht="14.4" x14ac:dyDescent="0.3">
      <c r="B176" s="1"/>
      <c r="C176" s="2" t="s">
        <v>25</v>
      </c>
      <c r="D176" s="2" t="s">
        <v>230</v>
      </c>
    </row>
    <row r="177" spans="2:4" ht="14.4" x14ac:dyDescent="0.3">
      <c r="B177" s="1"/>
      <c r="C177" s="2" t="s">
        <v>27</v>
      </c>
      <c r="D177" s="2" t="s">
        <v>230</v>
      </c>
    </row>
    <row r="178" spans="2:4" ht="14.4" x14ac:dyDescent="0.3">
      <c r="B178" s="1"/>
      <c r="C178" s="2" t="s">
        <v>28</v>
      </c>
      <c r="D178" s="2" t="s">
        <v>230</v>
      </c>
    </row>
    <row r="179" spans="2:4" ht="14.4" x14ac:dyDescent="0.3">
      <c r="B179" s="1"/>
    </row>
    <row r="180" spans="2:4" ht="14.4" x14ac:dyDescent="0.3">
      <c r="B180" s="1"/>
    </row>
    <row r="181" spans="2:4" ht="14.4" x14ac:dyDescent="0.3">
      <c r="B181" s="1"/>
    </row>
    <row r="182" spans="2:4" ht="14.4" x14ac:dyDescent="0.3">
      <c r="B182" s="1"/>
    </row>
    <row r="183" spans="2:4" ht="14.4" x14ac:dyDescent="0.3">
      <c r="B183" s="1"/>
    </row>
    <row r="184" spans="2:4" ht="14.4" x14ac:dyDescent="0.3">
      <c r="B184" s="1"/>
    </row>
    <row r="185" spans="2:4" ht="14.4" x14ac:dyDescent="0.3">
      <c r="B185" s="1"/>
    </row>
    <row r="186" spans="2:4" ht="14.4" x14ac:dyDescent="0.3">
      <c r="B186" s="1"/>
    </row>
    <row r="187" spans="2:4" ht="14.4" x14ac:dyDescent="0.3">
      <c r="B187" s="1"/>
    </row>
    <row r="188" spans="2:4" ht="14.4" x14ac:dyDescent="0.3">
      <c r="B188" s="1"/>
    </row>
    <row r="189" spans="2:4" ht="14.4" x14ac:dyDescent="0.3">
      <c r="B189" s="1"/>
    </row>
    <row r="190" spans="2:4" ht="14.4" x14ac:dyDescent="0.3">
      <c r="B190" s="1"/>
    </row>
    <row r="191" spans="2:4" ht="14.4" x14ac:dyDescent="0.3">
      <c r="B191" s="1"/>
    </row>
    <row r="192" spans="2:4" ht="14.4" x14ac:dyDescent="0.3">
      <c r="B192" s="1"/>
    </row>
    <row r="193" spans="2:2" ht="14.4" x14ac:dyDescent="0.3">
      <c r="B193" s="1"/>
    </row>
    <row r="194" spans="2:2" ht="14.4" x14ac:dyDescent="0.3">
      <c r="B194" s="1"/>
    </row>
    <row r="195" spans="2:2" ht="14.4" x14ac:dyDescent="0.3">
      <c r="B195" s="1"/>
    </row>
    <row r="196" spans="2:2" ht="14.4" x14ac:dyDescent="0.3">
      <c r="B196" s="1"/>
    </row>
    <row r="197" spans="2:2" ht="14.4" x14ac:dyDescent="0.3">
      <c r="B197" s="1"/>
    </row>
    <row r="198" spans="2:2" ht="14.4" x14ac:dyDescent="0.3">
      <c r="B198" s="1"/>
    </row>
    <row r="199" spans="2:2" ht="14.4" x14ac:dyDescent="0.3">
      <c r="B199" s="1"/>
    </row>
    <row r="200" spans="2:2" ht="14.4" x14ac:dyDescent="0.3">
      <c r="B200" s="1"/>
    </row>
    <row r="201" spans="2:2" ht="14.4" x14ac:dyDescent="0.3">
      <c r="B201" s="1"/>
    </row>
    <row r="202" spans="2:2" ht="14.4" x14ac:dyDescent="0.3">
      <c r="B202" s="1"/>
    </row>
    <row r="203" spans="2:2" ht="14.4" x14ac:dyDescent="0.3">
      <c r="B203" s="1"/>
    </row>
    <row r="204" spans="2:2" ht="14.4" x14ac:dyDescent="0.3">
      <c r="B204" s="1"/>
    </row>
    <row r="205" spans="2:2" ht="14.4" x14ac:dyDescent="0.3">
      <c r="B205" s="1"/>
    </row>
    <row r="206" spans="2:2" ht="14.4" x14ac:dyDescent="0.3">
      <c r="B206" s="1"/>
    </row>
    <row r="207" spans="2:2" ht="14.4" x14ac:dyDescent="0.3">
      <c r="B207" s="1"/>
    </row>
    <row r="208" spans="2:2" ht="14.4" x14ac:dyDescent="0.3">
      <c r="B208" s="1"/>
    </row>
    <row r="209" spans="2:2" ht="14.4" x14ac:dyDescent="0.3">
      <c r="B209" s="1"/>
    </row>
    <row r="210" spans="2:2" ht="14.4" x14ac:dyDescent="0.3">
      <c r="B210" s="1"/>
    </row>
    <row r="211" spans="2:2" ht="14.4" x14ac:dyDescent="0.3">
      <c r="B211" s="1"/>
    </row>
    <row r="212" spans="2:2" ht="14.4" x14ac:dyDescent="0.3">
      <c r="B212" s="1"/>
    </row>
    <row r="213" spans="2:2" ht="14.4" x14ac:dyDescent="0.3">
      <c r="B213" s="1"/>
    </row>
    <row r="214" spans="2:2" ht="14.4" x14ac:dyDescent="0.3">
      <c r="B214" s="1"/>
    </row>
    <row r="215" spans="2:2" ht="14.4" x14ac:dyDescent="0.3">
      <c r="B215" s="1"/>
    </row>
    <row r="216" spans="2:2" ht="14.4" x14ac:dyDescent="0.3">
      <c r="B216" s="1"/>
    </row>
    <row r="217" spans="2:2" ht="14.4" x14ac:dyDescent="0.3">
      <c r="B217" s="1"/>
    </row>
    <row r="218" spans="2:2" ht="14.4" x14ac:dyDescent="0.3">
      <c r="B218" s="1"/>
    </row>
    <row r="219" spans="2:2" ht="14.4" x14ac:dyDescent="0.3">
      <c r="B219" s="1"/>
    </row>
    <row r="220" spans="2:2" ht="14.4" x14ac:dyDescent="0.3">
      <c r="B220" s="1"/>
    </row>
    <row r="221" spans="2:2" ht="14.4" x14ac:dyDescent="0.3">
      <c r="B221" s="1"/>
    </row>
    <row r="222" spans="2:2" ht="14.4" x14ac:dyDescent="0.3">
      <c r="B222" s="1"/>
    </row>
    <row r="223" spans="2:2" ht="14.4" x14ac:dyDescent="0.3">
      <c r="B223" s="1"/>
    </row>
    <row r="224" spans="2:2" ht="14.4" x14ac:dyDescent="0.3">
      <c r="B224" s="1"/>
    </row>
    <row r="225" spans="2:2" ht="14.4" x14ac:dyDescent="0.3">
      <c r="B225" s="1"/>
    </row>
    <row r="226" spans="2:2" ht="14.4" x14ac:dyDescent="0.3">
      <c r="B226" s="1"/>
    </row>
    <row r="227" spans="2:2" ht="14.4" x14ac:dyDescent="0.3">
      <c r="B227" s="1"/>
    </row>
  </sheetData>
  <autoFilter ref="B3:J3" xr:uid="{B967B692-5E01-4772-B613-9A9C36CCCDEE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L117"/>
  <sheetViews>
    <sheetView tabSelected="1" zoomScale="145" zoomScaleNormal="145" workbookViewId="0">
      <selection activeCell="I44" sqref="I44"/>
    </sheetView>
  </sheetViews>
  <sheetFormatPr defaultRowHeight="11.4" x14ac:dyDescent="0.2"/>
  <cols>
    <col min="1" max="1" width="2.77734375" style="29" customWidth="1"/>
    <col min="2" max="2" width="19.6640625" style="29" bestFit="1" customWidth="1"/>
    <col min="3" max="5" width="8.88671875" style="29"/>
    <col min="6" max="6" width="1.77734375" style="29" customWidth="1"/>
    <col min="7" max="16384" width="8.88671875" style="29"/>
  </cols>
  <sheetData>
    <row r="1" spans="2:11" ht="15.6" x14ac:dyDescent="0.3">
      <c r="B1" s="28" t="s">
        <v>242</v>
      </c>
    </row>
    <row r="3" spans="2:11" ht="36.6" thickBot="1" x14ac:dyDescent="0.3">
      <c r="B3" s="30" t="s">
        <v>257</v>
      </c>
      <c r="C3" s="31" t="s">
        <v>224</v>
      </c>
      <c r="D3" s="31" t="s">
        <v>225</v>
      </c>
      <c r="E3" s="31" t="s">
        <v>226</v>
      </c>
      <c r="G3" s="42" t="s">
        <v>267</v>
      </c>
      <c r="H3" s="42" t="s">
        <v>268</v>
      </c>
    </row>
    <row r="4" spans="2:11" ht="12" thickTop="1" x14ac:dyDescent="0.2">
      <c r="B4" s="29" t="s">
        <v>229</v>
      </c>
      <c r="C4" s="32">
        <f>ROUND(SUMIF('2.1 Database'!$J:$J,'2.2 P&amp;L statement'!$B4,'2.1 Database'!F:F)/1000000,1)</f>
        <v>14.5</v>
      </c>
      <c r="D4" s="32">
        <f>SUMIF('2.1 Database'!$J:$J,'2.2 P&amp;L statement'!$B4,'2.1 Database'!G:G)/1000000</f>
        <v>16.148295364999999</v>
      </c>
      <c r="E4" s="32">
        <f>SUMIF('2.1 Database'!$J:$J,'2.2 P&amp;L statement'!$B4,'2.1 Database'!H:H)/1000000</f>
        <v>15.047803019</v>
      </c>
      <c r="G4" s="43">
        <f>IF(ISERROR((D4/C4)-1),"N/A",IF((D4/C4)-1 &gt; 1," &gt; 100% ",IF((D4/C4)-1 &lt; -1," &lt; -100% ",(D4/C4)-1)))</f>
        <v>0.11367554241379296</v>
      </c>
      <c r="H4" s="43">
        <f>IF(ISERROR((E4/D4)-1),"N/A",IF((E4/D4)-1 &gt; 1," &gt; 100% ",IF((E4/D4)-1 &lt; -1," &lt; -100% ",(E4/D4)-1)))</f>
        <v>-6.8149134080444096E-2</v>
      </c>
      <c r="J4" s="29" t="s">
        <v>344</v>
      </c>
    </row>
    <row r="5" spans="2:11" x14ac:dyDescent="0.2">
      <c r="B5" s="29" t="s">
        <v>67</v>
      </c>
      <c r="C5" s="32">
        <f>SUMIF('2.1 Database'!$J:$J,'2.2 P&amp;L statement'!$B5,'2.1 Database'!F:F)/1000000</f>
        <v>4.7948561920000001</v>
      </c>
      <c r="D5" s="32">
        <f>SUMIF('2.1 Database'!$J:$J,'2.2 P&amp;L statement'!$B5,'2.1 Database'!G:G)/1000000</f>
        <v>6.9602176449999993</v>
      </c>
      <c r="E5" s="32">
        <f>SUMIF('2.1 Database'!$J:$J,'2.2 P&amp;L statement'!$B5,'2.1 Database'!H:H)/1000000</f>
        <v>6.3736175140000002</v>
      </c>
      <c r="G5" s="43">
        <f t="shared" ref="G5:G24" si="0">IF(ISERROR((D5/C5)-1),"N/A",IF((D5/C5)-1 &gt; 1," &gt; 100% ",IF((D5/C5)-1 &lt; -1," &lt; -100% ",(D5/C5)-1)))</f>
        <v>0.45160091696030569</v>
      </c>
      <c r="H5" s="43">
        <f t="shared" ref="H5:H24" si="1">IF(ISERROR((E5/D5)-1),"N/A",IF((E5/D5)-1 &gt; 1," &gt; 100% ",IF((E5/D5)-1 &lt; -1," &lt; -100% ",(E5/D5)-1)))</f>
        <v>-8.4278992542911935E-2</v>
      </c>
      <c r="J5" s="29" t="s">
        <v>345</v>
      </c>
    </row>
    <row r="6" spans="2:11" x14ac:dyDescent="0.2">
      <c r="B6" s="29" t="s">
        <v>232</v>
      </c>
      <c r="C6" s="32">
        <f>SUMIF('2.1 Database'!$J:$J,'2.2 P&amp;L statement'!$B6,'2.1 Database'!F:F)/1000000</f>
        <v>3.2200542519999997</v>
      </c>
      <c r="D6" s="32">
        <f>SUMIF('2.1 Database'!$J:$J,'2.2 P&amp;L statement'!$B6,'2.1 Database'!G:G)/1000000</f>
        <v>2.9240919949999999</v>
      </c>
      <c r="E6" s="32">
        <f>SUMIF('2.1 Database'!$J:$J,'2.2 P&amp;L statement'!$B6,'2.1 Database'!H:H)/1000000</f>
        <v>4.8931777299999997</v>
      </c>
      <c r="G6" s="43">
        <f t="shared" si="0"/>
        <v>-9.1912195832158816E-2</v>
      </c>
      <c r="H6" s="43">
        <f t="shared" si="1"/>
        <v>0.67340074743441836</v>
      </c>
      <c r="J6" s="29" t="s">
        <v>346</v>
      </c>
    </row>
    <row r="7" spans="2:11" x14ac:dyDescent="0.2">
      <c r="B7" s="33" t="s">
        <v>245</v>
      </c>
      <c r="C7" s="34">
        <f>SUM(C4:C6)</f>
        <v>22.514910444000002</v>
      </c>
      <c r="D7" s="34">
        <f>SUM(D4:D6)</f>
        <v>26.032605005000001</v>
      </c>
      <c r="E7" s="34">
        <f>SUM(E4:E6)</f>
        <v>26.314598263000001</v>
      </c>
      <c r="G7" s="44">
        <f t="shared" si="0"/>
        <v>0.15623844339729231</v>
      </c>
      <c r="H7" s="44">
        <f t="shared" si="1"/>
        <v>1.0832310402506318E-2</v>
      </c>
    </row>
    <row r="8" spans="2:11" x14ac:dyDescent="0.2">
      <c r="B8" s="29" t="s">
        <v>101</v>
      </c>
      <c r="C8" s="32">
        <f>SUMIF('2.1 Database'!$J:$J,'2.2 P&amp;L statement'!$B8,'2.1 Database'!F:F)/1000000</f>
        <v>-4.4289117640000004</v>
      </c>
      <c r="D8" s="32">
        <f>SUMIF('2.1 Database'!$J:$J,'2.2 P&amp;L statement'!$B8,'2.1 Database'!G:G)/1000000</f>
        <v>-5.4631888250000005</v>
      </c>
      <c r="E8" s="32">
        <f>SUMIF('2.1 Database'!$J:$J,'2.2 P&amp;L statement'!$B8,'2.1 Database'!H:H)/1000000</f>
        <v>-5.6741520669999996</v>
      </c>
      <c r="G8" s="43">
        <f t="shared" si="0"/>
        <v>0.23352848647991253</v>
      </c>
      <c r="H8" s="43">
        <f t="shared" si="1"/>
        <v>3.861540370609462E-2</v>
      </c>
    </row>
    <row r="9" spans="2:11" x14ac:dyDescent="0.2">
      <c r="B9" s="33" t="s">
        <v>248</v>
      </c>
      <c r="C9" s="34">
        <f>SUM(C7:C8)</f>
        <v>18.085998680000003</v>
      </c>
      <c r="D9" s="34">
        <f t="shared" ref="D9:E9" si="2">SUM(D7:D8)</f>
        <v>20.569416180000001</v>
      </c>
      <c r="E9" s="34">
        <f t="shared" si="2"/>
        <v>20.640446195999999</v>
      </c>
      <c r="G9" s="44">
        <f t="shared" si="0"/>
        <v>0.1373116046251972</v>
      </c>
      <c r="H9" s="44">
        <f t="shared" si="1"/>
        <v>3.4531858064625887E-3</v>
      </c>
      <c r="K9" s="29" t="s">
        <v>266</v>
      </c>
    </row>
    <row r="10" spans="2:11" x14ac:dyDescent="0.2">
      <c r="B10" s="29" t="s">
        <v>230</v>
      </c>
      <c r="C10" s="32">
        <f>SUMIF('2.1 Database'!$J:$J,'2.2 P&amp;L statement'!$B10,'2.1 Database'!F:F)/1000000</f>
        <v>-3.3966489799999997</v>
      </c>
      <c r="D10" s="32">
        <f>SUMIF('2.1 Database'!$J:$J,'2.2 P&amp;L statement'!$B10,'2.1 Database'!G:G)/1000000</f>
        <v>-3.8622382400000004</v>
      </c>
      <c r="E10" s="32">
        <f>SUMIF('2.1 Database'!$J:$J,'2.2 P&amp;L statement'!$B10,'2.1 Database'!H:H)/1000000</f>
        <v>-6.6874830379999999</v>
      </c>
      <c r="G10" s="43">
        <f t="shared" si="0"/>
        <v>0.13707311610397865</v>
      </c>
      <c r="H10" s="43">
        <f t="shared" si="1"/>
        <v>0.73150453763825807</v>
      </c>
      <c r="K10" s="29" t="s">
        <v>269</v>
      </c>
    </row>
    <row r="11" spans="2:11" x14ac:dyDescent="0.2">
      <c r="B11" s="29" t="s">
        <v>231</v>
      </c>
      <c r="C11" s="32">
        <f>SUMIF('2.1 Database'!$J:$J,'2.2 P&amp;L statement'!$B11,'2.1 Database'!F:F)/1000000</f>
        <v>-6.17073904</v>
      </c>
      <c r="D11" s="32">
        <f>SUMIF('2.1 Database'!$J:$J,'2.2 P&amp;L statement'!$B11,'2.1 Database'!G:G)/1000000</f>
        <v>-8.0718589449999989</v>
      </c>
      <c r="E11" s="32">
        <f>SUMIF('2.1 Database'!$J:$J,'2.2 P&amp;L statement'!$B11,'2.1 Database'!H:H)/1000000</f>
        <v>-5.8358881759999992</v>
      </c>
      <c r="G11" s="43">
        <f t="shared" si="0"/>
        <v>0.30808625882192531</v>
      </c>
      <c r="H11" s="43">
        <f t="shared" si="1"/>
        <v>-0.27700815688622027</v>
      </c>
      <c r="K11" s="29" t="s">
        <v>274</v>
      </c>
    </row>
    <row r="12" spans="2:11" x14ac:dyDescent="0.2">
      <c r="B12" s="29" t="s">
        <v>78</v>
      </c>
      <c r="C12" s="32">
        <f>SUMIF('2.1 Database'!$J:$J,'2.2 P&amp;L statement'!$B12,'2.1 Database'!F:F)/1000000</f>
        <v>-1.127445872</v>
      </c>
      <c r="D12" s="32">
        <f>SUMIF('2.1 Database'!$J:$J,'2.2 P&amp;L statement'!$B12,'2.1 Database'!G:G)/1000000</f>
        <v>-1.0553814750000001</v>
      </c>
      <c r="E12" s="32">
        <f>SUMIF('2.1 Database'!$J:$J,'2.2 P&amp;L statement'!$B12,'2.1 Database'!H:H)/1000000</f>
        <v>1.596053449</v>
      </c>
      <c r="G12" s="43">
        <f t="shared" si="0"/>
        <v>-6.391827651305626E-2</v>
      </c>
      <c r="H12" s="43" t="str">
        <f t="shared" si="1"/>
        <v xml:space="preserve"> &lt; -100% </v>
      </c>
      <c r="K12" s="29" t="s">
        <v>270</v>
      </c>
    </row>
    <row r="13" spans="2:11" x14ac:dyDescent="0.2">
      <c r="B13" s="29" t="s">
        <v>233</v>
      </c>
      <c r="C13" s="32">
        <f>SUMIF('2.1 Database'!$J:$J,'2.2 P&amp;L statement'!$B13,'2.1 Database'!F:F)/1000000</f>
        <v>-2.5430882079999995</v>
      </c>
      <c r="D13" s="32">
        <f>SUMIF('2.1 Database'!$J:$J,'2.2 P&amp;L statement'!$B13,'2.1 Database'!G:G)/1000000</f>
        <v>-1.837786345</v>
      </c>
      <c r="E13" s="32">
        <f>SUMIF('2.1 Database'!$J:$J,'2.2 P&amp;L statement'!$B13,'2.1 Database'!H:H)/1000000</f>
        <v>-1.9549839309999999</v>
      </c>
      <c r="G13" s="43">
        <f t="shared" si="0"/>
        <v>-0.27734069969782171</v>
      </c>
      <c r="H13" s="43">
        <f t="shared" si="1"/>
        <v>6.3771061483210545E-2</v>
      </c>
      <c r="K13" s="29" t="s">
        <v>271</v>
      </c>
    </row>
    <row r="14" spans="2:11" x14ac:dyDescent="0.2">
      <c r="B14" s="29" t="s">
        <v>234</v>
      </c>
      <c r="C14" s="32">
        <f>SUMIF('2.1 Database'!$J:$J,'2.2 P&amp;L statement'!$B14,'2.1 Database'!F:F)/1000000</f>
        <v>-1.8135250039999999</v>
      </c>
      <c r="D14" s="32">
        <f>SUMIF('2.1 Database'!$J:$J,'2.2 P&amp;L statement'!$B14,'2.1 Database'!G:G)/1000000</f>
        <v>-2.41718799</v>
      </c>
      <c r="E14" s="32">
        <f>SUMIF('2.1 Database'!$J:$J,'2.2 P&amp;L statement'!$B14,'2.1 Database'!H:H)/1000000</f>
        <v>-2.5144318869999998</v>
      </c>
      <c r="G14" s="43">
        <f t="shared" si="0"/>
        <v>0.3328671976777442</v>
      </c>
      <c r="H14" s="43">
        <f t="shared" si="1"/>
        <v>4.0230175477580454E-2</v>
      </c>
      <c r="K14" s="29" t="s">
        <v>272</v>
      </c>
    </row>
    <row r="15" spans="2:11" x14ac:dyDescent="0.2">
      <c r="B15" s="29" t="s">
        <v>75</v>
      </c>
      <c r="C15" s="32">
        <f>SUMIF('2.1 Database'!$J:$J,'2.2 P&amp;L statement'!$B15,'2.1 Database'!F:F)/1000000</f>
        <v>5.7221999999999995E-5</v>
      </c>
      <c r="D15" s="32">
        <f>SUMIF('2.1 Database'!$J:$J,'2.2 P&amp;L statement'!$B15,'2.1 Database'!G:G)/1000000</f>
        <v>-7.3574899999999995E-3</v>
      </c>
      <c r="E15" s="32">
        <f>SUMIF('2.1 Database'!$J:$J,'2.2 P&amp;L statement'!$B15,'2.1 Database'!H:H)/1000000</f>
        <v>4.678542799999999E-2</v>
      </c>
      <c r="G15" s="43" t="str">
        <f t="shared" si="0"/>
        <v xml:space="preserve"> &lt; -100% </v>
      </c>
      <c r="H15" s="43" t="str">
        <f t="shared" si="1"/>
        <v xml:space="preserve"> &lt; -100% </v>
      </c>
    </row>
    <row r="16" spans="2:11" x14ac:dyDescent="0.2">
      <c r="B16" s="29" t="s">
        <v>68</v>
      </c>
      <c r="C16" s="32">
        <f>SUMIF('2.1 Database'!$J:$J,'2.2 P&amp;L statement'!$B16,'2.1 Database'!F:F)/1000000</f>
        <v>5.2683321979999995</v>
      </c>
      <c r="D16" s="32">
        <f>SUMIF('2.1 Database'!$J:$J,'2.2 P&amp;L statement'!$B16,'2.1 Database'!G:G)/1000000</f>
        <v>0.74482694999999999</v>
      </c>
      <c r="E16" s="32">
        <f>SUMIF('2.1 Database'!$J:$J,'2.2 P&amp;L statement'!$B16,'2.1 Database'!H:H)/1000000</f>
        <v>0</v>
      </c>
      <c r="G16" s="43">
        <f t="shared" si="0"/>
        <v>-0.85862187082986985</v>
      </c>
      <c r="H16" s="43">
        <f t="shared" si="1"/>
        <v>-1</v>
      </c>
    </row>
    <row r="17" spans="2:12" ht="12" x14ac:dyDescent="0.25">
      <c r="B17" s="35" t="s">
        <v>259</v>
      </c>
      <c r="C17" s="36">
        <f>SUM(C9:C16)</f>
        <v>8.3029409960000038</v>
      </c>
      <c r="D17" s="36">
        <f t="shared" ref="D17:E17" si="3">SUM(D9:D16)</f>
        <v>4.0624326450000021</v>
      </c>
      <c r="E17" s="36">
        <f t="shared" si="3"/>
        <v>5.2904980409999993</v>
      </c>
      <c r="G17" s="45">
        <f t="shared" si="0"/>
        <v>-0.51072365238328132</v>
      </c>
      <c r="H17" s="45">
        <f t="shared" si="1"/>
        <v>0.30229803256221044</v>
      </c>
      <c r="K17" s="29" t="s">
        <v>273</v>
      </c>
    </row>
    <row r="18" spans="2:12" x14ac:dyDescent="0.2">
      <c r="B18" s="29" t="s">
        <v>73</v>
      </c>
      <c r="C18" s="32">
        <f>SUMIF('2.1 Database'!$J:$J,'2.2 P&amp;L statement'!$B18,'2.1 Database'!F:F)/1000000</f>
        <v>-2.045243514</v>
      </c>
      <c r="D18" s="32">
        <f>SUMIF('2.1 Database'!$J:$J,'2.2 P&amp;L statement'!$B18,'2.1 Database'!G:G)/1000000</f>
        <v>-2.0440058150000002</v>
      </c>
      <c r="E18" s="32">
        <f>SUMIF('2.1 Database'!$J:$J,'2.2 P&amp;L statement'!$B18,'2.1 Database'!H:H)/1000000</f>
        <v>-1.8883615140000001</v>
      </c>
      <c r="G18" s="43">
        <f t="shared" si="0"/>
        <v>-6.0515972378227811E-4</v>
      </c>
      <c r="H18" s="43">
        <f t="shared" si="1"/>
        <v>-7.6146701666795491E-2</v>
      </c>
      <c r="K18" s="71"/>
    </row>
    <row r="19" spans="2:12" x14ac:dyDescent="0.2">
      <c r="B19" s="33" t="s">
        <v>249</v>
      </c>
      <c r="C19" s="34">
        <f>SUM(C17:C18)</f>
        <v>6.2576974820000038</v>
      </c>
      <c r="D19" s="34">
        <f t="shared" ref="D19:E19" si="4">SUM(D17:D18)</f>
        <v>2.0184268300000019</v>
      </c>
      <c r="E19" s="34">
        <f t="shared" si="4"/>
        <v>3.4021365269999992</v>
      </c>
      <c r="G19" s="44">
        <f t="shared" si="0"/>
        <v>-0.6774489601317546</v>
      </c>
      <c r="H19" s="44">
        <f t="shared" si="1"/>
        <v>0.68553869599523498</v>
      </c>
      <c r="J19" s="29" t="s">
        <v>282</v>
      </c>
    </row>
    <row r="20" spans="2:12" x14ac:dyDescent="0.2">
      <c r="B20" s="29" t="s">
        <v>236</v>
      </c>
      <c r="C20" s="32">
        <f>SUMIF('2.1 Database'!$J:$J,'2.2 P&amp;L statement'!$B20,'2.1 Database'!F:F)/1000000</f>
        <v>-2.8426923660000001</v>
      </c>
      <c r="D20" s="32">
        <f>SUMIF('2.1 Database'!$J:$J,'2.2 P&amp;L statement'!$B20,'2.1 Database'!G:G)/1000000</f>
        <v>-2.7107469200000001</v>
      </c>
      <c r="E20" s="32">
        <f>SUMIF('2.1 Database'!$J:$J,'2.2 P&amp;L statement'!$B20,'2.1 Database'!H:H)/1000000</f>
        <v>-2.250707829</v>
      </c>
      <c r="G20" s="43">
        <f t="shared" si="0"/>
        <v>-4.6415661285805099E-2</v>
      </c>
      <c r="H20" s="43">
        <f t="shared" si="1"/>
        <v>-0.16970934748862498</v>
      </c>
    </row>
    <row r="21" spans="2:12" x14ac:dyDescent="0.2">
      <c r="B21" s="29" t="s">
        <v>237</v>
      </c>
      <c r="C21" s="32">
        <f>SUMIF('2.1 Database'!$J:$J,'2.2 P&amp;L statement'!$B21,'2.1 Database'!F:F)/1000000</f>
        <v>-2.2762999999999999E-2</v>
      </c>
      <c r="D21" s="32">
        <f>SUMIF('2.1 Database'!$J:$J,'2.2 P&amp;L statement'!$B21,'2.1 Database'!G:G)/1000000</f>
        <v>-4.3972961050000006</v>
      </c>
      <c r="E21" s="32">
        <f>SUMIF('2.1 Database'!$J:$J,'2.2 P&amp;L statement'!$B21,'2.1 Database'!H:H)/1000000</f>
        <v>-7.1731959999999989E-3</v>
      </c>
      <c r="G21" s="43" t="str">
        <f t="shared" si="0"/>
        <v xml:space="preserve"> &gt; 100% </v>
      </c>
      <c r="H21" s="43">
        <f t="shared" si="1"/>
        <v>-0.99836872572855773</v>
      </c>
    </row>
    <row r="22" spans="2:12" x14ac:dyDescent="0.2">
      <c r="B22" s="33" t="s">
        <v>258</v>
      </c>
      <c r="C22" s="34">
        <f>SUM(C19:C21)</f>
        <v>3.3922421160000038</v>
      </c>
      <c r="D22" s="34">
        <f t="shared" ref="D22:E22" si="5">SUM(D19:D21)</f>
        <v>-5.0896161949999987</v>
      </c>
      <c r="E22" s="34">
        <f t="shared" si="5"/>
        <v>1.1442555019999991</v>
      </c>
      <c r="G22" s="44" t="str">
        <f t="shared" si="0"/>
        <v xml:space="preserve"> &lt; -100% </v>
      </c>
      <c r="H22" s="44" t="str">
        <f t="shared" si="1"/>
        <v xml:space="preserve"> &lt; -100% </v>
      </c>
    </row>
    <row r="23" spans="2:12" ht="12" thickBot="1" x14ac:dyDescent="0.25">
      <c r="B23" s="29" t="s">
        <v>238</v>
      </c>
      <c r="C23" s="32">
        <f>SUMIF('2.1 Database'!$J:$J,'2.2 P&amp;L statement'!$B23,'2.1 Database'!F:F)/1000000</f>
        <v>-0.48846512199999997</v>
      </c>
      <c r="D23" s="32">
        <f>SUMIF('2.1 Database'!$J:$J,'2.2 P&amp;L statement'!$B23,'2.1 Database'!G:G)/1000000</f>
        <v>-0.98419196500000017</v>
      </c>
      <c r="E23" s="32">
        <f>SUMIF('2.1 Database'!$J:$J,'2.2 P&amp;L statement'!$B23,'2.1 Database'!H:H)/1000000</f>
        <v>-0.36496502599999997</v>
      </c>
      <c r="G23" s="43" t="str">
        <f t="shared" si="0"/>
        <v xml:space="preserve"> &gt; 100% </v>
      </c>
      <c r="H23" s="43">
        <f t="shared" si="1"/>
        <v>-0.62917292664546398</v>
      </c>
    </row>
    <row r="24" spans="2:12" ht="12.6" thickBot="1" x14ac:dyDescent="0.3">
      <c r="B24" s="37" t="s">
        <v>239</v>
      </c>
      <c r="C24" s="38">
        <f>SUM(C22:C23)</f>
        <v>2.9037769940000038</v>
      </c>
      <c r="D24" s="38">
        <f t="shared" ref="D24:E24" si="6">SUM(D22:D23)</f>
        <v>-6.0738081599999987</v>
      </c>
      <c r="E24" s="38">
        <f t="shared" si="6"/>
        <v>0.77929047599999923</v>
      </c>
      <c r="G24" s="46" t="str">
        <f t="shared" si="0"/>
        <v xml:space="preserve"> &lt; -100% </v>
      </c>
      <c r="H24" s="46" t="str">
        <f t="shared" si="1"/>
        <v xml:space="preserve"> &lt; -100% </v>
      </c>
      <c r="L24" s="29" t="s">
        <v>265</v>
      </c>
    </row>
    <row r="25" spans="2:12" ht="12" thickTop="1" x14ac:dyDescent="0.2">
      <c r="K25" s="29" t="s">
        <v>235</v>
      </c>
    </row>
    <row r="27" spans="2:12" x14ac:dyDescent="0.2">
      <c r="B27" s="29" t="s">
        <v>260</v>
      </c>
    </row>
    <row r="30" spans="2:12" x14ac:dyDescent="0.2">
      <c r="B30" s="29" t="s">
        <v>261</v>
      </c>
      <c r="C30" s="32">
        <f>SUMIF('2.1 Database'!$J:$J,'2.2 P&amp;L statement'!$B30,'2.1 Database'!F:F)/1000000</f>
        <v>-2.9041179939999986</v>
      </c>
      <c r="D30" s="32">
        <f>SUMIF('2.1 Database'!$J:$J,'2.2 P&amp;L statement'!$B30,'2.1 Database'!G:G)/1000000</f>
        <v>6.0738081600000005</v>
      </c>
      <c r="E30" s="32">
        <f>SUMIF('2.1 Database'!$J:$J,'2.2 P&amp;L statement'!$B30,'2.1 Database'!H:H)/1000000</f>
        <v>-0.77929047600000001</v>
      </c>
      <c r="G30" s="29" t="s">
        <v>262</v>
      </c>
      <c r="K30" s="29" t="s">
        <v>240</v>
      </c>
    </row>
    <row r="31" spans="2:12" x14ac:dyDescent="0.2">
      <c r="B31" s="41" t="s">
        <v>263</v>
      </c>
      <c r="C31" s="41">
        <f>SUM(C24,C30)</f>
        <v>-3.4099999999481767E-4</v>
      </c>
      <c r="D31" s="41">
        <f t="shared" ref="D31:E31" si="7">SUM(D24,D30)</f>
        <v>0</v>
      </c>
      <c r="E31" s="41">
        <f t="shared" si="7"/>
        <v>0</v>
      </c>
      <c r="K31" s="29" t="s">
        <v>241</v>
      </c>
    </row>
    <row r="32" spans="2:12" ht="14.4" x14ac:dyDescent="0.3">
      <c r="K32" s="39"/>
    </row>
    <row r="33" spans="2:11" ht="14.4" x14ac:dyDescent="0.3">
      <c r="K33" s="39"/>
    </row>
    <row r="34" spans="2:11" ht="14.4" x14ac:dyDescent="0.3">
      <c r="B34" s="72" t="s">
        <v>275</v>
      </c>
      <c r="C34" s="72"/>
      <c r="D34" s="72"/>
      <c r="E34" s="72"/>
      <c r="K34" s="39"/>
    </row>
    <row r="35" spans="2:11" ht="14.4" x14ac:dyDescent="0.3">
      <c r="B35" s="72" t="s">
        <v>276</v>
      </c>
      <c r="C35" s="72">
        <f>C9/C$7</f>
        <v>0.8032898343071021</v>
      </c>
      <c r="D35" s="72">
        <f t="shared" ref="D35:E35" si="8">D9/D$7</f>
        <v>0.79014052477841912</v>
      </c>
      <c r="E35" s="72">
        <f t="shared" si="8"/>
        <v>0.78437246085651935</v>
      </c>
      <c r="K35" s="39" t="s">
        <v>279</v>
      </c>
    </row>
    <row r="36" spans="2:11" ht="14.4" x14ac:dyDescent="0.3">
      <c r="B36" s="72" t="s">
        <v>277</v>
      </c>
      <c r="C36" s="72">
        <f>C17/C$7</f>
        <v>0.36877521750092745</v>
      </c>
      <c r="D36" s="72">
        <f t="shared" ref="D36:E36" si="9">D17/D$7</f>
        <v>0.15605171454104358</v>
      </c>
      <c r="E36" s="72">
        <f t="shared" si="9"/>
        <v>0.20104802619916018</v>
      </c>
      <c r="K36" s="39" t="s">
        <v>280</v>
      </c>
    </row>
    <row r="37" spans="2:11" ht="14.4" x14ac:dyDescent="0.3">
      <c r="B37" s="72" t="s">
        <v>278</v>
      </c>
      <c r="C37" s="72">
        <f>C19/C$7</f>
        <v>0.27793570387785477</v>
      </c>
      <c r="D37" s="72">
        <f t="shared" ref="D37:E37" si="10">D19/D$7</f>
        <v>7.7534569806299788E-2</v>
      </c>
      <c r="E37" s="72">
        <f t="shared" si="10"/>
        <v>0.12928704033394345</v>
      </c>
      <c r="K37" s="39" t="s">
        <v>281</v>
      </c>
    </row>
    <row r="38" spans="2:11" ht="14.4" x14ac:dyDescent="0.3">
      <c r="K38" s="39"/>
    </row>
    <row r="39" spans="2:11" ht="14.4" x14ac:dyDescent="0.3">
      <c r="K39" s="39"/>
    </row>
    <row r="40" spans="2:11" ht="14.4" x14ac:dyDescent="0.3">
      <c r="K40" s="39"/>
    </row>
    <row r="41" spans="2:11" ht="14.4" x14ac:dyDescent="0.3">
      <c r="K41" s="39"/>
    </row>
    <row r="42" spans="2:11" ht="14.4" x14ac:dyDescent="0.3">
      <c r="K42" s="39"/>
    </row>
    <row r="43" spans="2:11" ht="14.4" x14ac:dyDescent="0.3">
      <c r="K43" s="39"/>
    </row>
    <row r="44" spans="2:11" ht="14.4" x14ac:dyDescent="0.3">
      <c r="K44" s="39"/>
    </row>
    <row r="45" spans="2:11" ht="14.4" x14ac:dyDescent="0.3">
      <c r="K45" s="39"/>
    </row>
    <row r="46" spans="2:11" ht="14.4" x14ac:dyDescent="0.3">
      <c r="K46" s="39"/>
    </row>
    <row r="47" spans="2:11" ht="14.4" x14ac:dyDescent="0.3">
      <c r="K47" s="39"/>
    </row>
    <row r="48" spans="2:11" ht="14.4" x14ac:dyDescent="0.3">
      <c r="K48" s="39"/>
    </row>
    <row r="49" spans="11:11" ht="14.4" x14ac:dyDescent="0.3">
      <c r="K49" s="39"/>
    </row>
    <row r="50" spans="11:11" ht="14.4" x14ac:dyDescent="0.3">
      <c r="K50" s="39"/>
    </row>
    <row r="51" spans="11:11" ht="14.4" x14ac:dyDescent="0.3">
      <c r="K51" s="39"/>
    </row>
    <row r="52" spans="11:11" ht="14.4" x14ac:dyDescent="0.3">
      <c r="K52" s="39"/>
    </row>
    <row r="53" spans="11:11" ht="14.4" x14ac:dyDescent="0.3">
      <c r="K53" s="39"/>
    </row>
    <row r="54" spans="11:11" ht="14.4" x14ac:dyDescent="0.3">
      <c r="K54" s="39"/>
    </row>
    <row r="55" spans="11:11" ht="14.4" x14ac:dyDescent="0.3">
      <c r="K55" s="39"/>
    </row>
    <row r="56" spans="11:11" ht="14.4" x14ac:dyDescent="0.3">
      <c r="K56" s="39"/>
    </row>
    <row r="57" spans="11:11" ht="14.4" x14ac:dyDescent="0.3">
      <c r="K57" s="39"/>
    </row>
    <row r="58" spans="11:11" ht="14.4" x14ac:dyDescent="0.3">
      <c r="K58" s="39"/>
    </row>
    <row r="59" spans="11:11" ht="14.4" x14ac:dyDescent="0.3">
      <c r="K59" s="39"/>
    </row>
    <row r="60" spans="11:11" ht="14.4" x14ac:dyDescent="0.3">
      <c r="K60" s="39"/>
    </row>
    <row r="61" spans="11:11" ht="14.4" x14ac:dyDescent="0.3">
      <c r="K61" s="39"/>
    </row>
    <row r="62" spans="11:11" ht="14.4" x14ac:dyDescent="0.3">
      <c r="K62" s="39"/>
    </row>
    <row r="63" spans="11:11" ht="14.4" x14ac:dyDescent="0.3">
      <c r="K63" s="39"/>
    </row>
    <row r="64" spans="11:11" ht="14.4" x14ac:dyDescent="0.3">
      <c r="K64" s="39"/>
    </row>
    <row r="65" spans="11:11" ht="14.4" x14ac:dyDescent="0.3">
      <c r="K65" s="39"/>
    </row>
    <row r="66" spans="11:11" ht="14.4" x14ac:dyDescent="0.3">
      <c r="K66" s="39"/>
    </row>
    <row r="67" spans="11:11" ht="14.4" x14ac:dyDescent="0.3">
      <c r="K67" s="39"/>
    </row>
    <row r="68" spans="11:11" ht="14.4" x14ac:dyDescent="0.3">
      <c r="K68" s="39"/>
    </row>
    <row r="69" spans="11:11" ht="14.4" x14ac:dyDescent="0.3">
      <c r="K69" s="39"/>
    </row>
    <row r="70" spans="11:11" ht="14.4" x14ac:dyDescent="0.3">
      <c r="K70" s="39"/>
    </row>
    <row r="71" spans="11:11" ht="14.4" x14ac:dyDescent="0.3">
      <c r="K71" s="39"/>
    </row>
    <row r="72" spans="11:11" ht="14.4" x14ac:dyDescent="0.3">
      <c r="K72" s="39"/>
    </row>
    <row r="73" spans="11:11" ht="14.4" x14ac:dyDescent="0.3">
      <c r="K73" s="39"/>
    </row>
    <row r="74" spans="11:11" ht="14.4" x14ac:dyDescent="0.3">
      <c r="K74" s="39"/>
    </row>
    <row r="75" spans="11:11" ht="14.4" x14ac:dyDescent="0.3">
      <c r="K75" s="39"/>
    </row>
    <row r="76" spans="11:11" ht="14.4" x14ac:dyDescent="0.3">
      <c r="K76" s="39"/>
    </row>
    <row r="77" spans="11:11" ht="14.4" x14ac:dyDescent="0.3">
      <c r="K77" s="39"/>
    </row>
    <row r="78" spans="11:11" ht="14.4" x14ac:dyDescent="0.3">
      <c r="K78" s="39"/>
    </row>
    <row r="79" spans="11:11" ht="14.4" x14ac:dyDescent="0.3">
      <c r="K79" s="39"/>
    </row>
    <row r="80" spans="11:11" ht="14.4" x14ac:dyDescent="0.3">
      <c r="K80" s="39"/>
    </row>
    <row r="81" spans="4:11" ht="14.4" x14ac:dyDescent="0.3">
      <c r="K81" s="39"/>
    </row>
    <row r="82" spans="4:11" ht="14.4" x14ac:dyDescent="0.3">
      <c r="K82" s="39"/>
    </row>
    <row r="83" spans="4:11" ht="14.4" x14ac:dyDescent="0.3">
      <c r="K83" s="39"/>
    </row>
    <row r="84" spans="4:11" ht="14.4" x14ac:dyDescent="0.3">
      <c r="K84" s="39"/>
    </row>
    <row r="85" spans="4:11" ht="14.4" x14ac:dyDescent="0.3">
      <c r="K85" s="39"/>
    </row>
    <row r="86" spans="4:11" ht="14.4" x14ac:dyDescent="0.3">
      <c r="K86" s="39"/>
    </row>
    <row r="87" spans="4:11" ht="15.6" x14ac:dyDescent="0.3">
      <c r="D87" s="40" t="s">
        <v>243</v>
      </c>
      <c r="K87" s="39"/>
    </row>
    <row r="88" spans="4:11" ht="15.6" x14ac:dyDescent="0.3">
      <c r="D88" s="40" t="s">
        <v>244</v>
      </c>
      <c r="K88" s="39"/>
    </row>
    <row r="89" spans="4:11" ht="15.6" x14ac:dyDescent="0.3">
      <c r="D89" s="40" t="s">
        <v>246</v>
      </c>
      <c r="K89" s="39"/>
    </row>
    <row r="90" spans="4:11" ht="15.6" x14ac:dyDescent="0.3">
      <c r="D90" s="40" t="s">
        <v>247</v>
      </c>
      <c r="K90" s="39"/>
    </row>
    <row r="91" spans="4:11" ht="15.6" x14ac:dyDescent="0.3">
      <c r="D91" s="40" t="s">
        <v>250</v>
      </c>
      <c r="K91" s="39"/>
    </row>
    <row r="92" spans="4:11" ht="15.6" x14ac:dyDescent="0.3">
      <c r="D92" s="40" t="s">
        <v>251</v>
      </c>
      <c r="K92" s="39"/>
    </row>
    <row r="93" spans="4:11" ht="15.6" x14ac:dyDescent="0.3">
      <c r="D93" s="40" t="s">
        <v>252</v>
      </c>
      <c r="K93" s="39"/>
    </row>
    <row r="94" spans="4:11" ht="15.6" x14ac:dyDescent="0.3">
      <c r="D94" s="40" t="s">
        <v>253</v>
      </c>
      <c r="K94" s="39"/>
    </row>
    <row r="95" spans="4:11" ht="15.6" x14ac:dyDescent="0.3">
      <c r="D95" s="40" t="s">
        <v>254</v>
      </c>
      <c r="K95" s="39"/>
    </row>
    <row r="96" spans="4:11" ht="15.6" x14ac:dyDescent="0.3">
      <c r="D96" s="40" t="s">
        <v>255</v>
      </c>
      <c r="K96" s="39"/>
    </row>
    <row r="97" spans="4:11" ht="15.6" x14ac:dyDescent="0.3">
      <c r="D97" s="40" t="s">
        <v>256</v>
      </c>
      <c r="K97" s="39"/>
    </row>
    <row r="98" spans="4:11" ht="14.4" x14ac:dyDescent="0.3">
      <c r="K98" s="39"/>
    </row>
    <row r="99" spans="4:11" ht="14.4" x14ac:dyDescent="0.3">
      <c r="K99" s="39"/>
    </row>
    <row r="100" spans="4:11" ht="14.4" x14ac:dyDescent="0.3">
      <c r="K100" s="39"/>
    </row>
    <row r="101" spans="4:11" ht="14.4" x14ac:dyDescent="0.3">
      <c r="K101" s="39"/>
    </row>
    <row r="102" spans="4:11" ht="14.4" x14ac:dyDescent="0.3">
      <c r="K102" s="39"/>
    </row>
    <row r="103" spans="4:11" ht="14.4" x14ac:dyDescent="0.3">
      <c r="K103" s="39"/>
    </row>
    <row r="104" spans="4:11" ht="14.4" x14ac:dyDescent="0.3">
      <c r="K104" s="39"/>
    </row>
    <row r="105" spans="4:11" ht="14.4" x14ac:dyDescent="0.3">
      <c r="K105" s="39"/>
    </row>
    <row r="106" spans="4:11" ht="14.4" x14ac:dyDescent="0.3">
      <c r="K106" s="39"/>
    </row>
    <row r="107" spans="4:11" ht="14.4" x14ac:dyDescent="0.3">
      <c r="K107" s="39"/>
    </row>
    <row r="108" spans="4:11" ht="14.4" x14ac:dyDescent="0.3">
      <c r="K108" s="39"/>
    </row>
    <row r="109" spans="4:11" ht="14.4" x14ac:dyDescent="0.3">
      <c r="K109" s="39"/>
    </row>
    <row r="110" spans="4:11" ht="14.4" x14ac:dyDescent="0.3">
      <c r="K110" s="39"/>
    </row>
    <row r="111" spans="4:11" ht="14.4" x14ac:dyDescent="0.3">
      <c r="K111" s="39"/>
    </row>
    <row r="112" spans="4:11" ht="14.4" x14ac:dyDescent="0.3">
      <c r="K112" s="39"/>
    </row>
    <row r="113" spans="11:11" ht="14.4" x14ac:dyDescent="0.3">
      <c r="K113" s="39"/>
    </row>
    <row r="114" spans="11:11" ht="14.4" x14ac:dyDescent="0.3">
      <c r="K114" s="39"/>
    </row>
    <row r="115" spans="11:11" ht="14.4" x14ac:dyDescent="0.3">
      <c r="K115" s="39"/>
    </row>
    <row r="116" spans="11:11" ht="14.4" x14ac:dyDescent="0.3">
      <c r="K116" s="39"/>
    </row>
    <row r="117" spans="11:11" ht="14.4" x14ac:dyDescent="0.3">
      <c r="K117" s="39"/>
    </row>
  </sheetData>
  <conditionalFormatting sqref="G4:H24">
    <cfRule type="iconSet" priority="1">
      <iconSet>
        <cfvo type="percent" val="0"/>
        <cfvo type="num" val="0"/>
        <cfvo type="num" val="0.1"/>
      </iconSet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2:H23"/>
  <sheetViews>
    <sheetView topLeftCell="A4" zoomScale="145" zoomScaleNormal="145" workbookViewId="0">
      <selection activeCell="D12" sqref="D12"/>
    </sheetView>
  </sheetViews>
  <sheetFormatPr defaultRowHeight="10.199999999999999" x14ac:dyDescent="0.2"/>
  <cols>
    <col min="1" max="1" width="2.33203125" style="59" customWidth="1"/>
    <col min="2" max="2" width="13.44140625" style="59" bestFit="1" customWidth="1"/>
    <col min="3" max="16384" width="8.88671875" style="59"/>
  </cols>
  <sheetData>
    <row r="2" spans="2:5" ht="13.2" x14ac:dyDescent="0.25">
      <c r="B2" s="60" t="s">
        <v>325</v>
      </c>
    </row>
    <row r="5" spans="2:5" ht="10.8" thickBot="1" x14ac:dyDescent="0.25">
      <c r="B5" s="64"/>
      <c r="C5" s="65" t="s">
        <v>224</v>
      </c>
      <c r="D5" s="65" t="s">
        <v>225</v>
      </c>
      <c r="E5" s="65" t="s">
        <v>226</v>
      </c>
    </row>
    <row r="6" spans="2:5" x14ac:dyDescent="0.2">
      <c r="B6" s="66" t="s">
        <v>229</v>
      </c>
      <c r="C6" s="67">
        <v>14.5</v>
      </c>
      <c r="D6" s="67">
        <v>16.148295364999999</v>
      </c>
      <c r="E6" s="67">
        <v>15.047803019</v>
      </c>
    </row>
    <row r="7" spans="2:5" x14ac:dyDescent="0.2">
      <c r="B7" s="68" t="s">
        <v>67</v>
      </c>
      <c r="C7" s="67">
        <v>4.7948561920000001</v>
      </c>
      <c r="D7" s="67">
        <v>6.9602176449999993</v>
      </c>
      <c r="E7" s="67">
        <v>6.3736175140000002</v>
      </c>
    </row>
    <row r="8" spans="2:5" x14ac:dyDescent="0.2">
      <c r="B8" s="68" t="s">
        <v>232</v>
      </c>
      <c r="C8" s="67">
        <v>3.2200542519999997</v>
      </c>
      <c r="D8" s="67">
        <v>2.9240919949999999</v>
      </c>
      <c r="E8" s="67">
        <v>4.8931777299999997</v>
      </c>
    </row>
    <row r="9" spans="2:5" x14ac:dyDescent="0.2">
      <c r="B9" s="69" t="s">
        <v>276</v>
      </c>
      <c r="C9" s="70">
        <v>0.8032898343071021</v>
      </c>
      <c r="D9" s="70">
        <v>0.79014052477841912</v>
      </c>
      <c r="E9" s="70">
        <v>0.78437246085651935</v>
      </c>
    </row>
    <row r="22" spans="8:8" x14ac:dyDescent="0.2">
      <c r="H22" s="59" t="s">
        <v>326</v>
      </c>
    </row>
    <row r="23" spans="8:8" x14ac:dyDescent="0.2">
      <c r="H23" s="59" t="s">
        <v>327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2:E19"/>
  <sheetViews>
    <sheetView topLeftCell="A4" zoomScale="145" zoomScaleNormal="145" workbookViewId="0">
      <selection activeCell="G23" sqref="G23"/>
    </sheetView>
  </sheetViews>
  <sheetFormatPr defaultRowHeight="10.199999999999999" x14ac:dyDescent="0.2"/>
  <cols>
    <col min="1" max="1" width="2.33203125" style="59" customWidth="1"/>
    <col min="2" max="2" width="11.109375" style="59" customWidth="1"/>
    <col min="3" max="16384" width="8.88671875" style="59"/>
  </cols>
  <sheetData>
    <row r="2" spans="2:5" ht="15.6" x14ac:dyDescent="0.3">
      <c r="B2" s="63" t="s">
        <v>328</v>
      </c>
    </row>
    <row r="5" spans="2:5" ht="10.8" thickBot="1" x14ac:dyDescent="0.25">
      <c r="B5" s="64"/>
      <c r="C5" s="65" t="s">
        <v>224</v>
      </c>
      <c r="D5" s="65" t="s">
        <v>225</v>
      </c>
      <c r="E5" s="65" t="s">
        <v>226</v>
      </c>
    </row>
    <row r="6" spans="2:5" x14ac:dyDescent="0.2">
      <c r="B6" s="66" t="s">
        <v>229</v>
      </c>
      <c r="C6" s="67">
        <v>14.5</v>
      </c>
      <c r="D6" s="67">
        <v>16.148295364999999</v>
      </c>
      <c r="E6" s="67">
        <v>15.047803019</v>
      </c>
    </row>
    <row r="7" spans="2:5" x14ac:dyDescent="0.2">
      <c r="B7" s="68" t="s">
        <v>67</v>
      </c>
      <c r="C7" s="67">
        <v>4.7948561920000001</v>
      </c>
      <c r="D7" s="67">
        <v>6.9602176449999993</v>
      </c>
      <c r="E7" s="67">
        <v>6.3736175140000002</v>
      </c>
    </row>
    <row r="8" spans="2:5" x14ac:dyDescent="0.2">
      <c r="B8" s="68" t="s">
        <v>232</v>
      </c>
      <c r="C8" s="67">
        <v>3.2200542519999997</v>
      </c>
      <c r="D8" s="67">
        <v>2.9240919949999999</v>
      </c>
      <c r="E8" s="67">
        <v>4.8931777299999997</v>
      </c>
    </row>
    <row r="10" spans="2:5" x14ac:dyDescent="0.2">
      <c r="E10" s="59">
        <f>SUM(E6:E8)</f>
        <v>26.314598263000001</v>
      </c>
    </row>
    <row r="18" spans="2:2" x14ac:dyDescent="0.2">
      <c r="B18" s="59" t="s">
        <v>329</v>
      </c>
    </row>
    <row r="19" spans="2:2" x14ac:dyDescent="0.2">
      <c r="B19" s="59" t="s">
        <v>330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2:E26"/>
  <sheetViews>
    <sheetView zoomScale="130" zoomScaleNormal="130" workbookViewId="0">
      <selection activeCell="F12" sqref="F12"/>
    </sheetView>
  </sheetViews>
  <sheetFormatPr defaultRowHeight="10.199999999999999" x14ac:dyDescent="0.2"/>
  <cols>
    <col min="1" max="1" width="2.33203125" style="53" customWidth="1"/>
    <col min="2" max="16384" width="8.88671875" style="53"/>
  </cols>
  <sheetData>
    <row r="2" spans="2:5" ht="12" x14ac:dyDescent="0.25">
      <c r="B2" s="61" t="s">
        <v>331</v>
      </c>
    </row>
    <row r="5" spans="2:5" ht="10.8" thickBot="1" x14ac:dyDescent="0.25">
      <c r="B5" s="64"/>
      <c r="C5" s="65" t="s">
        <v>224</v>
      </c>
      <c r="D5" s="65" t="s">
        <v>225</v>
      </c>
      <c r="E5" s="65" t="s">
        <v>226</v>
      </c>
    </row>
    <row r="6" spans="2:5" x14ac:dyDescent="0.2">
      <c r="B6" s="74" t="s">
        <v>332</v>
      </c>
      <c r="C6" s="53">
        <v>22.514910444000002</v>
      </c>
      <c r="D6" s="53">
        <v>26.032605005000001</v>
      </c>
      <c r="E6" s="53">
        <v>26.314598263000001</v>
      </c>
    </row>
    <row r="7" spans="2:5" x14ac:dyDescent="0.2">
      <c r="B7" s="75" t="s">
        <v>276</v>
      </c>
      <c r="C7" s="73">
        <v>0.8032898343071021</v>
      </c>
      <c r="D7" s="73">
        <v>0.79014052477841912</v>
      </c>
      <c r="E7" s="73">
        <v>0.78437246085651935</v>
      </c>
    </row>
    <row r="26" spans="2:2" x14ac:dyDescent="0.2">
      <c r="B26" s="53" t="s">
        <v>333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2:C32"/>
  <sheetViews>
    <sheetView zoomScale="130" zoomScaleNormal="130" workbookViewId="0">
      <selection activeCell="C11" sqref="C11"/>
    </sheetView>
  </sheetViews>
  <sheetFormatPr defaultRowHeight="10.199999999999999" x14ac:dyDescent="0.2"/>
  <cols>
    <col min="1" max="1" width="2.33203125" style="48" customWidth="1"/>
    <col min="2" max="2" width="20.33203125" style="48" bestFit="1" customWidth="1"/>
    <col min="3" max="16384" width="8.88671875" style="48"/>
  </cols>
  <sheetData>
    <row r="2" spans="2:3" ht="15.6" x14ac:dyDescent="0.3">
      <c r="B2" s="47" t="s">
        <v>283</v>
      </c>
    </row>
    <row r="6" spans="2:3" ht="11.4" x14ac:dyDescent="0.2">
      <c r="B6" s="49" t="s">
        <v>284</v>
      </c>
      <c r="C6" s="49">
        <v>14.5</v>
      </c>
    </row>
    <row r="7" spans="2:3" ht="11.4" x14ac:dyDescent="0.2">
      <c r="B7" s="49" t="s">
        <v>101</v>
      </c>
      <c r="C7" s="49">
        <v>-4.4000000000000004</v>
      </c>
    </row>
    <row r="8" spans="2:3" ht="11.4" x14ac:dyDescent="0.2">
      <c r="B8" s="49" t="s">
        <v>230</v>
      </c>
      <c r="C8" s="49">
        <v>-3.3</v>
      </c>
    </row>
    <row r="9" spans="2:3" ht="11.4" x14ac:dyDescent="0.2">
      <c r="B9" s="49" t="s">
        <v>231</v>
      </c>
      <c r="C9" s="49">
        <v>-6.1</v>
      </c>
    </row>
    <row r="10" spans="2:3" ht="11.4" x14ac:dyDescent="0.2">
      <c r="B10" s="49" t="s">
        <v>75</v>
      </c>
      <c r="C10" s="49">
        <v>0.3</v>
      </c>
    </row>
    <row r="11" spans="2:3" ht="11.4" x14ac:dyDescent="0.2">
      <c r="B11" s="50" t="s">
        <v>259</v>
      </c>
      <c r="C11" s="50">
        <v>1</v>
      </c>
    </row>
    <row r="31" spans="2:2" ht="13.2" x14ac:dyDescent="0.25">
      <c r="B31" s="51" t="s">
        <v>285</v>
      </c>
    </row>
    <row r="32" spans="2:2" ht="13.2" x14ac:dyDescent="0.25">
      <c r="B32" s="51" t="s">
        <v>334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D6469-DD81-424A-9D43-3EEC6F01C73C}">
  <dimension ref="B2:E17"/>
  <sheetViews>
    <sheetView zoomScale="138" zoomScaleNormal="138" workbookViewId="0">
      <selection activeCell="N8" sqref="N8"/>
    </sheetView>
  </sheetViews>
  <sheetFormatPr defaultRowHeight="10.199999999999999" x14ac:dyDescent="0.2"/>
  <cols>
    <col min="1" max="1" width="2.33203125" style="59" customWidth="1"/>
    <col min="2" max="2" width="20.44140625" style="59" bestFit="1" customWidth="1"/>
    <col min="3" max="16384" width="8.88671875" style="59"/>
  </cols>
  <sheetData>
    <row r="2" spans="2:5" ht="12" x14ac:dyDescent="0.25">
      <c r="B2" s="61" t="s">
        <v>283</v>
      </c>
    </row>
    <row r="4" spans="2:5" x14ac:dyDescent="0.2">
      <c r="B4" s="76" t="s">
        <v>335</v>
      </c>
      <c r="C4" s="76">
        <f>'2.2 P&amp;L statement'!D17</f>
        <v>4.0624326450000021</v>
      </c>
      <c r="E4" s="59" t="s">
        <v>339</v>
      </c>
    </row>
    <row r="5" spans="2:5" x14ac:dyDescent="0.2">
      <c r="B5" s="59" t="s">
        <v>336</v>
      </c>
      <c r="C5" s="59">
        <f>'2.2 P&amp;L statement'!E7-'2.2 P&amp;L statement'!D7</f>
        <v>0.28199325799999997</v>
      </c>
      <c r="E5" s="59" t="s">
        <v>340</v>
      </c>
    </row>
    <row r="6" spans="2:5" x14ac:dyDescent="0.2">
      <c r="B6" s="59" t="s">
        <v>342</v>
      </c>
      <c r="C6" s="59">
        <f>'2.2 P&amp;L statement'!E8-'2.2 P&amp;L statement'!D8</f>
        <v>-0.21096324199999916</v>
      </c>
    </row>
    <row r="7" spans="2:5" x14ac:dyDescent="0.2">
      <c r="B7" s="59" t="s">
        <v>341</v>
      </c>
      <c r="C7" s="59">
        <f>SUM('2.2 P&amp;L statement'!E10:E16)-SUM('2.2 P&amp;L statement'!D10:D16)</f>
        <v>1.1570353799999999</v>
      </c>
    </row>
    <row r="8" spans="2:5" x14ac:dyDescent="0.2">
      <c r="B8" s="76" t="s">
        <v>337</v>
      </c>
      <c r="C8" s="76">
        <f>'2.2 P&amp;L statement'!E17</f>
        <v>5.2904980409999993</v>
      </c>
    </row>
    <row r="11" spans="2:5" x14ac:dyDescent="0.2">
      <c r="B11" s="77" t="s">
        <v>338</v>
      </c>
      <c r="C11" s="77">
        <f>SUM(C4:C7)-C8</f>
        <v>0</v>
      </c>
    </row>
    <row r="17" spans="2:2" x14ac:dyDescent="0.2">
      <c r="B17" s="59" t="s">
        <v>343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B2:J28"/>
  <sheetViews>
    <sheetView zoomScale="145" zoomScaleNormal="145" workbookViewId="0">
      <selection activeCell="P20" sqref="P20"/>
    </sheetView>
  </sheetViews>
  <sheetFormatPr defaultRowHeight="10.199999999999999" x14ac:dyDescent="0.2"/>
  <cols>
    <col min="1" max="1" width="2.33203125" style="48" customWidth="1"/>
    <col min="2" max="2" width="16.77734375" style="48" bestFit="1" customWidth="1"/>
    <col min="3" max="3" width="8.33203125" style="48" bestFit="1" customWidth="1"/>
    <col min="4" max="4" width="5.88671875" style="48" bestFit="1" customWidth="1"/>
    <col min="5" max="16384" width="8.88671875" style="48"/>
  </cols>
  <sheetData>
    <row r="2" spans="2:4" ht="15.6" x14ac:dyDescent="0.3">
      <c r="B2" s="47" t="s">
        <v>286</v>
      </c>
    </row>
    <row r="5" spans="2:4" ht="10.8" thickBot="1" x14ac:dyDescent="0.25">
      <c r="B5" s="52" t="s">
        <v>287</v>
      </c>
      <c r="C5" s="52" t="s">
        <v>288</v>
      </c>
      <c r="D5" s="52" t="s">
        <v>289</v>
      </c>
    </row>
    <row r="6" spans="2:4" ht="10.8" thickTop="1" x14ac:dyDescent="0.2">
      <c r="B6" s="48" t="s">
        <v>290</v>
      </c>
      <c r="C6" s="48" t="s">
        <v>291</v>
      </c>
      <c r="D6" s="48">
        <v>19.5</v>
      </c>
    </row>
    <row r="7" spans="2:4" x14ac:dyDescent="0.2">
      <c r="B7" s="48" t="s">
        <v>290</v>
      </c>
      <c r="C7" s="48" t="s">
        <v>292</v>
      </c>
      <c r="D7" s="48">
        <v>5.6</v>
      </c>
    </row>
    <row r="8" spans="2:4" x14ac:dyDescent="0.2">
      <c r="B8" s="48" t="s">
        <v>290</v>
      </c>
      <c r="C8" s="48" t="s">
        <v>293</v>
      </c>
      <c r="D8" s="48">
        <v>10.4</v>
      </c>
    </row>
    <row r="9" spans="2:4" x14ac:dyDescent="0.2">
      <c r="B9" s="48" t="s">
        <v>294</v>
      </c>
      <c r="C9" s="48" t="s">
        <v>295</v>
      </c>
      <c r="D9" s="48">
        <v>21.3</v>
      </c>
    </row>
    <row r="10" spans="2:4" x14ac:dyDescent="0.2">
      <c r="B10" s="48" t="s">
        <v>294</v>
      </c>
      <c r="C10" s="48" t="s">
        <v>296</v>
      </c>
      <c r="D10" s="48">
        <v>3.9</v>
      </c>
    </row>
    <row r="11" spans="2:4" x14ac:dyDescent="0.2">
      <c r="B11" s="48" t="s">
        <v>294</v>
      </c>
      <c r="C11" s="48" t="s">
        <v>297</v>
      </c>
      <c r="D11" s="48">
        <v>3.4</v>
      </c>
    </row>
    <row r="12" spans="2:4" x14ac:dyDescent="0.2">
      <c r="B12" s="48" t="s">
        <v>298</v>
      </c>
      <c r="C12" s="48" t="s">
        <v>299</v>
      </c>
      <c r="D12" s="48">
        <v>22.9</v>
      </c>
    </row>
    <row r="13" spans="2:4" x14ac:dyDescent="0.2">
      <c r="B13" s="48" t="s">
        <v>298</v>
      </c>
      <c r="C13" s="48" t="s">
        <v>300</v>
      </c>
      <c r="D13" s="48">
        <v>2.8</v>
      </c>
    </row>
    <row r="14" spans="2:4" x14ac:dyDescent="0.2">
      <c r="B14" s="48" t="s">
        <v>298</v>
      </c>
      <c r="C14" s="48" t="s">
        <v>301</v>
      </c>
      <c r="D14" s="48">
        <v>3.1</v>
      </c>
    </row>
    <row r="19" spans="2:10" x14ac:dyDescent="0.2">
      <c r="B19" s="48" t="s">
        <v>302</v>
      </c>
    </row>
    <row r="20" spans="2:10" x14ac:dyDescent="0.2">
      <c r="B20" s="48" t="s">
        <v>303</v>
      </c>
    </row>
    <row r="21" spans="2:10" x14ac:dyDescent="0.2">
      <c r="B21" s="48" t="s">
        <v>304</v>
      </c>
    </row>
    <row r="22" spans="2:10" x14ac:dyDescent="0.2">
      <c r="B22" s="48" t="s">
        <v>305</v>
      </c>
    </row>
    <row r="27" spans="2:10" x14ac:dyDescent="0.2">
      <c r="J27" s="48" t="s">
        <v>306</v>
      </c>
    </row>
    <row r="28" spans="2:10" x14ac:dyDescent="0.2">
      <c r="J28" s="48" t="s">
        <v>307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1971-79C1-486B-A06D-40C1CFEC8AEE}">
  <dimension ref="B2:N13"/>
  <sheetViews>
    <sheetView zoomScale="145" zoomScaleNormal="145" workbookViewId="0">
      <selection activeCell="C14" sqref="C14"/>
    </sheetView>
  </sheetViews>
  <sheetFormatPr defaultRowHeight="10.199999999999999" x14ac:dyDescent="0.2"/>
  <cols>
    <col min="1" max="1" width="2.33203125" style="53" customWidth="1"/>
    <col min="2" max="12" width="8.88671875" style="53"/>
    <col min="13" max="13" width="1.77734375" style="53" customWidth="1"/>
    <col min="14" max="14" width="9.6640625" style="53" bestFit="1" customWidth="1"/>
    <col min="15" max="16384" width="8.88671875" style="53"/>
  </cols>
  <sheetData>
    <row r="2" spans="2:14" ht="13.2" x14ac:dyDescent="0.25">
      <c r="B2" s="60" t="s">
        <v>322</v>
      </c>
    </row>
    <row r="4" spans="2:14" ht="12.6" thickBot="1" x14ac:dyDescent="0.3">
      <c r="B4" s="54" t="s">
        <v>308</v>
      </c>
      <c r="C4" s="55" t="s">
        <v>309</v>
      </c>
      <c r="D4" s="56" t="s">
        <v>310</v>
      </c>
      <c r="E4" s="56" t="s">
        <v>311</v>
      </c>
      <c r="F4" s="56" t="s">
        <v>312</v>
      </c>
      <c r="G4" s="56" t="s">
        <v>313</v>
      </c>
      <c r="H4" s="56" t="s">
        <v>314</v>
      </c>
      <c r="I4" s="56" t="s">
        <v>315</v>
      </c>
      <c r="J4" s="56" t="s">
        <v>316</v>
      </c>
      <c r="K4" s="56" t="s">
        <v>317</v>
      </c>
      <c r="L4" s="56" t="s">
        <v>318</v>
      </c>
      <c r="N4" s="62" t="s">
        <v>323</v>
      </c>
    </row>
    <row r="5" spans="2:14" ht="11.4" x14ac:dyDescent="0.2">
      <c r="B5" s="57" t="s">
        <v>319</v>
      </c>
      <c r="C5" s="58">
        <v>98</v>
      </c>
      <c r="D5" s="58">
        <v>113</v>
      </c>
      <c r="E5" s="58">
        <v>122</v>
      </c>
      <c r="F5" s="58">
        <v>89</v>
      </c>
      <c r="G5" s="58">
        <v>84</v>
      </c>
      <c r="H5" s="58">
        <v>90</v>
      </c>
      <c r="I5" s="58">
        <v>92</v>
      </c>
      <c r="J5" s="58">
        <v>98</v>
      </c>
      <c r="K5" s="58">
        <v>110</v>
      </c>
      <c r="L5" s="58">
        <v>112</v>
      </c>
    </row>
    <row r="6" spans="2:14" ht="11.4" x14ac:dyDescent="0.2">
      <c r="B6" s="58" t="s">
        <v>320</v>
      </c>
      <c r="C6" s="58">
        <v>113</v>
      </c>
      <c r="D6" s="58">
        <v>132</v>
      </c>
      <c r="E6" s="58">
        <v>140</v>
      </c>
      <c r="F6" s="58">
        <v>120</v>
      </c>
      <c r="G6" s="58">
        <v>123</v>
      </c>
      <c r="H6" s="58">
        <v>99</v>
      </c>
      <c r="I6" s="58">
        <v>101</v>
      </c>
      <c r="J6" s="58">
        <v>105</v>
      </c>
      <c r="K6" s="58">
        <v>101</v>
      </c>
      <c r="L6" s="58">
        <v>99</v>
      </c>
    </row>
    <row r="7" spans="2:14" ht="11.4" x14ac:dyDescent="0.2">
      <c r="B7" s="58" t="s">
        <v>321</v>
      </c>
      <c r="C7" s="58">
        <v>122</v>
      </c>
      <c r="D7" s="58">
        <v>114</v>
      </c>
      <c r="E7" s="58">
        <v>101</v>
      </c>
      <c r="F7" s="58">
        <v>98</v>
      </c>
      <c r="G7" s="58">
        <v>94</v>
      </c>
      <c r="H7" s="58">
        <v>92</v>
      </c>
      <c r="I7" s="58">
        <v>88</v>
      </c>
      <c r="J7" s="58">
        <v>84</v>
      </c>
      <c r="K7" s="58">
        <v>81</v>
      </c>
      <c r="L7" s="58">
        <v>74</v>
      </c>
    </row>
    <row r="13" spans="2:14" x14ac:dyDescent="0.2">
      <c r="C13" s="53" t="s">
        <v>324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negative="1" xr2:uid="{16B648B2-FA91-4910-897E-BEC17877C7F3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Sparklines!$C5:$L5</xm:f>
              <xm:sqref>N5</xm:sqref>
            </x14:sparkline>
            <x14:sparkline>
              <xm:f>Sparklines!$C6:$L6</xm:f>
              <xm:sqref>N6</xm:sqref>
            </x14:sparkline>
            <x14:sparkline>
              <xm:f>Sparklines!$C7:$L7</xm:f>
              <xm:sqref>N7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Bridge Chart 2</vt:lpstr>
      <vt:lpstr>Treemap Chart</vt:lpstr>
      <vt:lpstr>Sparklines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2020-04-26T14:39:39Z</dcterms:modified>
</cp:coreProperties>
</file>