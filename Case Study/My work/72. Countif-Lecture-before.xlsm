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53076CDF-09CB-40BD-990E-4614CE301330}" xr6:coauthVersionLast="45" xr6:coauthVersionMax="45" xr10:uidLastSave="{00000000-0000-0000-0000-000000000000}"/>
  <bookViews>
    <workbookView xWindow="-108" yWindow="-108" windowWidth="23256" windowHeight="125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Database'!$L$3:$L$108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27" i="21" s="1"/>
  <c r="F60" i="10"/>
  <c r="C27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E23" i="21" s="1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E15" i="21" s="1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D15" i="21" s="1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C11" i="21" s="1"/>
  <c r="F13" i="10"/>
  <c r="F12" i="10"/>
  <c r="F11" i="10"/>
  <c r="F10" i="10"/>
  <c r="C8" i="21" s="1"/>
  <c r="F9" i="10"/>
  <c r="F8" i="10"/>
  <c r="F7" i="10"/>
  <c r="F6" i="10"/>
  <c r="C16" i="21" s="1"/>
  <c r="F5" i="10"/>
  <c r="C5" i="21" s="1"/>
  <c r="F4" i="10"/>
  <c r="C4" i="21" s="1"/>
  <c r="E20" i="21" l="1"/>
  <c r="E27" i="21"/>
  <c r="D23" i="21"/>
  <c r="E18" i="21"/>
  <c r="E13" i="21"/>
  <c r="E21" i="21"/>
  <c r="D20" i="21"/>
  <c r="C12" i="21"/>
  <c r="C20" i="21"/>
  <c r="C23" i="21"/>
  <c r="D18" i="21"/>
  <c r="D13" i="21"/>
  <c r="E10" i="21"/>
  <c r="D10" i="21"/>
  <c r="E6" i="21"/>
  <c r="E7" i="21" s="1"/>
  <c r="E9" i="21" s="1"/>
  <c r="C10" i="21"/>
  <c r="D6" i="21"/>
  <c r="D7" i="21" s="1"/>
  <c r="D9" i="21" s="1"/>
  <c r="C6" i="21"/>
  <c r="C7" i="21" s="1"/>
  <c r="C9" i="21" s="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17" i="21" l="1"/>
  <c r="E19" i="21" s="1"/>
  <c r="E22" i="21" s="1"/>
  <c r="E24" i="21" s="1"/>
  <c r="E28" i="21" s="1"/>
  <c r="C17" i="21"/>
  <c r="C19" i="21" s="1"/>
  <c r="C22" i="21" s="1"/>
  <c r="C24" i="21" s="1"/>
  <c r="C28" i="21" s="1"/>
  <c r="D17" i="21"/>
  <c r="D19" i="21" s="1"/>
  <c r="D22" i="21" s="1"/>
  <c r="D24" i="21" s="1"/>
  <c r="D28" i="21" s="1"/>
</calcChain>
</file>

<file path=xl/sharedStrings.xml><?xml version="1.0" encoding="utf-8"?>
<sst xmlns="http://schemas.openxmlformats.org/spreadsheetml/2006/main" count="957" uniqueCount="248">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</sst>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0" fontId="1" fillId="4" borderId="0" xfId="0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filterMode="1"/>
  <dimension ref="B1:L215"/>
  <sheetViews>
    <sheetView workbookViewId="0">
      <selection activeCell="K33" sqref="K33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2" ht="15.6" x14ac:dyDescent="0.3">
      <c r="B1" s="3" t="s">
        <v>56</v>
      </c>
    </row>
    <row r="3" spans="2:12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  <c r="L3" s="2" t="s">
        <v>247</v>
      </c>
    </row>
    <row r="4" spans="2:12" hidden="1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  <c r="L4" s="2">
        <f>COUNTIF('2.2 P&amp;L statement'!$B$4:$B$24,'2.1 Database'!J4)</f>
        <v>1</v>
      </c>
    </row>
    <row r="5" spans="2:12" hidden="1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  <c r="L5" s="2">
        <f>COUNTIF('2.2 P&amp;L statement'!$B$4:$B$24,'2.1 Database'!J5)</f>
        <v>1</v>
      </c>
    </row>
    <row r="6" spans="2:12" hidden="1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  <c r="L6" s="2">
        <f>COUNTIF('2.2 P&amp;L statement'!$B$4:$B$24,'2.1 Database'!J6)</f>
        <v>1</v>
      </c>
    </row>
    <row r="7" spans="2:12" hidden="1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  <c r="L7" s="2">
        <f>COUNTIF('2.2 P&amp;L statement'!$B$4:$B$24,'2.1 Database'!J7)</f>
        <v>1</v>
      </c>
    </row>
    <row r="8" spans="2:12" hidden="1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  <c r="L8" s="2">
        <f>COUNTIF('2.2 P&amp;L statement'!$B$4:$B$24,'2.1 Database'!J8)</f>
        <v>1</v>
      </c>
    </row>
    <row r="9" spans="2:12" hidden="1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  <c r="L9" s="2">
        <f>COUNTIF('2.2 P&amp;L statement'!$B$4:$B$24,'2.1 Database'!J9)</f>
        <v>1</v>
      </c>
    </row>
    <row r="10" spans="2:12" hidden="1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  <c r="L10" s="2">
        <f>COUNTIF('2.2 P&amp;L statement'!$B$4:$B$24,'2.1 Database'!J10)</f>
        <v>1</v>
      </c>
    </row>
    <row r="11" spans="2:12" hidden="1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  <c r="L11" s="2">
        <f>COUNTIF('2.2 P&amp;L statement'!$B$4:$B$24,'2.1 Database'!J11)</f>
        <v>1</v>
      </c>
    </row>
    <row r="12" spans="2:12" hidden="1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  <c r="L12" s="2">
        <f>COUNTIF('2.2 P&amp;L statement'!$B$4:$B$24,'2.1 Database'!J12)</f>
        <v>1</v>
      </c>
    </row>
    <row r="13" spans="2:12" hidden="1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  <c r="L13" s="2">
        <f>COUNTIF('2.2 P&amp;L statement'!$B$4:$B$24,'2.1 Database'!J13)</f>
        <v>1</v>
      </c>
    </row>
    <row r="14" spans="2:12" hidden="1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  <c r="L14" s="2">
        <f>COUNTIF('2.2 P&amp;L statement'!$B$4:$B$24,'2.1 Database'!J14)</f>
        <v>1</v>
      </c>
    </row>
    <row r="15" spans="2:12" hidden="1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  <c r="L15" s="2">
        <f>COUNTIF('2.2 P&amp;L statement'!$B$4:$B$24,'2.1 Database'!J15)</f>
        <v>1</v>
      </c>
    </row>
    <row r="16" spans="2:12" hidden="1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  <c r="L16" s="2">
        <f>COUNTIF('2.2 P&amp;L statement'!$B$4:$B$24,'2.1 Database'!J16)</f>
        <v>1</v>
      </c>
    </row>
    <row r="17" spans="2:12" hidden="1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  <c r="L17" s="2">
        <f>COUNTIF('2.2 P&amp;L statement'!$B$4:$B$24,'2.1 Database'!J17)</f>
        <v>1</v>
      </c>
    </row>
    <row r="18" spans="2:12" hidden="1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  <c r="L18" s="2">
        <f>COUNTIF('2.2 P&amp;L statement'!$B$4:$B$24,'2.1 Database'!J18)</f>
        <v>1</v>
      </c>
    </row>
    <row r="19" spans="2:12" hidden="1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  <c r="L19" s="2">
        <f>COUNTIF('2.2 P&amp;L statement'!$B$4:$B$24,'2.1 Database'!J19)</f>
        <v>1</v>
      </c>
    </row>
    <row r="20" spans="2:12" hidden="1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  <c r="L20" s="2">
        <f>COUNTIF('2.2 P&amp;L statement'!$B$4:$B$24,'2.1 Database'!J20)</f>
        <v>1</v>
      </c>
    </row>
    <row r="21" spans="2:12" hidden="1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  <c r="L21" s="2">
        <f>COUNTIF('2.2 P&amp;L statement'!$B$4:$B$24,'2.1 Database'!J21)</f>
        <v>1</v>
      </c>
    </row>
    <row r="22" spans="2:12" hidden="1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  <c r="L22" s="2">
        <f>COUNTIF('2.2 P&amp;L statement'!$B$4:$B$24,'2.1 Database'!J22)</f>
        <v>1</v>
      </c>
    </row>
    <row r="23" spans="2:12" hidden="1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  <c r="L23" s="2">
        <f>COUNTIF('2.2 P&amp;L statement'!$B$4:$B$24,'2.1 Database'!J23)</f>
        <v>1</v>
      </c>
    </row>
    <row r="24" spans="2:12" hidden="1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  <c r="L24" s="2">
        <f>COUNTIF('2.2 P&amp;L statement'!$B$4:$B$24,'2.1 Database'!J24)</f>
        <v>1</v>
      </c>
    </row>
    <row r="25" spans="2:12" hidden="1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  <c r="L25" s="2">
        <f>COUNTIF('2.2 P&amp;L statement'!$B$4:$B$24,'2.1 Database'!J25)</f>
        <v>1</v>
      </c>
    </row>
    <row r="26" spans="2:12" hidden="1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  <c r="L26" s="2">
        <f>COUNTIF('2.2 P&amp;L statement'!$B$4:$B$24,'2.1 Database'!J26)</f>
        <v>1</v>
      </c>
    </row>
    <row r="27" spans="2:12" hidden="1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  <c r="L27" s="2">
        <f>COUNTIF('2.2 P&amp;L statement'!$B$4:$B$24,'2.1 Database'!J27)</f>
        <v>1</v>
      </c>
    </row>
    <row r="28" spans="2:12" hidden="1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  <c r="L28" s="2">
        <f>COUNTIF('2.2 P&amp;L statement'!$B$4:$B$24,'2.1 Database'!J28)</f>
        <v>1</v>
      </c>
    </row>
    <row r="29" spans="2:12" hidden="1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  <c r="L29" s="2">
        <f>COUNTIF('2.2 P&amp;L statement'!$B$4:$B$24,'2.1 Database'!J29)</f>
        <v>1</v>
      </c>
    </row>
    <row r="30" spans="2:12" hidden="1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  <c r="L30" s="2">
        <f>COUNTIF('2.2 P&amp;L statement'!$B$4:$B$24,'2.1 Database'!J30)</f>
        <v>1</v>
      </c>
    </row>
    <row r="31" spans="2:12" hidden="1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  <c r="L31" s="2">
        <f>COUNTIF('2.2 P&amp;L statement'!$B$4:$B$24,'2.1 Database'!J31)</f>
        <v>1</v>
      </c>
    </row>
    <row r="32" spans="2:12" hidden="1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  <c r="L32" s="2">
        <f>COUNTIF('2.2 P&amp;L statement'!$B$4:$B$24,'2.1 Database'!J32)</f>
        <v>1</v>
      </c>
    </row>
    <row r="33" spans="2:12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42" t="s">
        <v>230</v>
      </c>
      <c r="L33" s="2">
        <f>COUNTIF('2.2 P&amp;L statement'!$B$4:$B$24,'2.1 Database'!J33)</f>
        <v>1</v>
      </c>
    </row>
    <row r="34" spans="2:12" hidden="1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  <c r="L34" s="2">
        <f>COUNTIF('2.2 P&amp;L statement'!$B$4:$B$24,'2.1 Database'!J34)</f>
        <v>1</v>
      </c>
    </row>
    <row r="35" spans="2:12" hidden="1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  <c r="L35" s="2">
        <f>COUNTIF('2.2 P&amp;L statement'!$B$4:$B$24,'2.1 Database'!J35)</f>
        <v>1</v>
      </c>
    </row>
    <row r="36" spans="2:12" hidden="1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  <c r="L36" s="2">
        <f>COUNTIF('2.2 P&amp;L statement'!$B$4:$B$24,'2.1 Database'!J36)</f>
        <v>1</v>
      </c>
    </row>
    <row r="37" spans="2:12" hidden="1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  <c r="L37" s="2">
        <f>COUNTIF('2.2 P&amp;L statement'!$B$4:$B$24,'2.1 Database'!J37)</f>
        <v>1</v>
      </c>
    </row>
    <row r="38" spans="2:12" hidden="1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  <c r="L38" s="2">
        <f>COUNTIF('2.2 P&amp;L statement'!$B$4:$B$24,'2.1 Database'!J38)</f>
        <v>1</v>
      </c>
    </row>
    <row r="39" spans="2:12" hidden="1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  <c r="L39" s="2">
        <f>COUNTIF('2.2 P&amp;L statement'!$B$4:$B$24,'2.1 Database'!J39)</f>
        <v>1</v>
      </c>
    </row>
    <row r="40" spans="2:12" hidden="1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  <c r="L40" s="2">
        <f>COUNTIF('2.2 P&amp;L statement'!$B$4:$B$24,'2.1 Database'!J40)</f>
        <v>1</v>
      </c>
    </row>
    <row r="41" spans="2:12" hidden="1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  <c r="L41" s="2">
        <f>COUNTIF('2.2 P&amp;L statement'!$B$4:$B$24,'2.1 Database'!J41)</f>
        <v>1</v>
      </c>
    </row>
    <row r="42" spans="2:12" hidden="1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  <c r="L42" s="2">
        <f>COUNTIF('2.2 P&amp;L statement'!$B$4:$B$24,'2.1 Database'!J42)</f>
        <v>1</v>
      </c>
    </row>
    <row r="43" spans="2:12" hidden="1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  <c r="L43" s="2">
        <f>COUNTIF('2.2 P&amp;L statement'!$B$4:$B$24,'2.1 Database'!J43)</f>
        <v>1</v>
      </c>
    </row>
    <row r="44" spans="2:12" hidden="1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  <c r="L44" s="2">
        <f>COUNTIF('2.2 P&amp;L statement'!$B$4:$B$24,'2.1 Database'!J44)</f>
        <v>1</v>
      </c>
    </row>
    <row r="45" spans="2:12" hidden="1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  <c r="L45" s="2">
        <f>COUNTIF('2.2 P&amp;L statement'!$B$4:$B$24,'2.1 Database'!J45)</f>
        <v>1</v>
      </c>
    </row>
    <row r="46" spans="2:12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  <c r="L46" s="2">
        <f>COUNTIF('2.2 P&amp;L statement'!$B$4:$B$24,'2.1 Database'!J46)</f>
        <v>0</v>
      </c>
    </row>
    <row r="47" spans="2:12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  <c r="L47" s="2">
        <f>COUNTIF('2.2 P&amp;L statement'!$B$4:$B$24,'2.1 Database'!J47)</f>
        <v>0</v>
      </c>
    </row>
    <row r="48" spans="2:12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  <c r="L48" s="2">
        <f>COUNTIF('2.2 P&amp;L statement'!$B$4:$B$24,'2.1 Database'!J48)</f>
        <v>0</v>
      </c>
    </row>
    <row r="49" spans="2:12" hidden="1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  <c r="L49" s="2">
        <f>COUNTIF('2.2 P&amp;L statement'!$B$4:$B$24,'2.1 Database'!J49)</f>
        <v>1</v>
      </c>
    </row>
    <row r="50" spans="2:12" hidden="1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  <c r="L50" s="2">
        <f>COUNTIF('2.2 P&amp;L statement'!$B$4:$B$24,'2.1 Database'!J50)</f>
        <v>1</v>
      </c>
    </row>
    <row r="51" spans="2:12" hidden="1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  <c r="L51" s="2">
        <f>COUNTIF('2.2 P&amp;L statement'!$B$4:$B$24,'2.1 Database'!J51)</f>
        <v>1</v>
      </c>
    </row>
    <row r="52" spans="2:12" hidden="1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  <c r="L52" s="2">
        <f>COUNTIF('2.2 P&amp;L statement'!$B$4:$B$24,'2.1 Database'!J52)</f>
        <v>1</v>
      </c>
    </row>
    <row r="53" spans="2:12" hidden="1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  <c r="L53" s="2">
        <f>COUNTIF('2.2 P&amp;L statement'!$B$4:$B$24,'2.1 Database'!J53)</f>
        <v>1</v>
      </c>
    </row>
    <row r="54" spans="2:12" hidden="1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  <c r="L54" s="2">
        <f>COUNTIF('2.2 P&amp;L statement'!$B$4:$B$24,'2.1 Database'!J54)</f>
        <v>1</v>
      </c>
    </row>
    <row r="55" spans="2:12" hidden="1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  <c r="L55" s="2">
        <f>COUNTIF('2.2 P&amp;L statement'!$B$4:$B$24,'2.1 Database'!J55)</f>
        <v>1</v>
      </c>
    </row>
    <row r="56" spans="2:12" hidden="1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  <c r="L56" s="2">
        <f>COUNTIF('2.2 P&amp;L statement'!$B$4:$B$24,'2.1 Database'!J56)</f>
        <v>1</v>
      </c>
    </row>
    <row r="57" spans="2:12" hidden="1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  <c r="L57" s="2">
        <f>COUNTIF('2.2 P&amp;L statement'!$B$4:$B$24,'2.1 Database'!J57)</f>
        <v>1</v>
      </c>
    </row>
    <row r="58" spans="2:12" hidden="1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  <c r="L58" s="2">
        <f>COUNTIF('2.2 P&amp;L statement'!$B$4:$B$24,'2.1 Database'!J58)</f>
        <v>1</v>
      </c>
    </row>
    <row r="59" spans="2:12" hidden="1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  <c r="L59" s="2">
        <f>COUNTIF('2.2 P&amp;L statement'!$B$4:$B$24,'2.1 Database'!J59)</f>
        <v>1</v>
      </c>
    </row>
    <row r="60" spans="2:12" hidden="1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  <c r="L60" s="2">
        <f>COUNTIF('2.2 P&amp;L statement'!$B$4:$B$24,'2.1 Database'!J60)</f>
        <v>1</v>
      </c>
    </row>
    <row r="61" spans="2:12" hidden="1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  <c r="L61" s="2">
        <f>COUNTIF('2.2 P&amp;L statement'!$B$4:$B$24,'2.1 Database'!J61)</f>
        <v>1</v>
      </c>
    </row>
    <row r="62" spans="2:12" hidden="1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  <c r="L62" s="2">
        <f>COUNTIF('2.2 P&amp;L statement'!$B$4:$B$24,'2.1 Database'!J62)</f>
        <v>1</v>
      </c>
    </row>
    <row r="63" spans="2:12" hidden="1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  <c r="L63" s="2">
        <f>COUNTIF('2.2 P&amp;L statement'!$B$4:$B$24,'2.1 Database'!J63)</f>
        <v>1</v>
      </c>
    </row>
    <row r="64" spans="2:12" hidden="1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  <c r="L64" s="2">
        <f>COUNTIF('2.2 P&amp;L statement'!$B$4:$B$24,'2.1 Database'!J64)</f>
        <v>1</v>
      </c>
    </row>
    <row r="65" spans="2:12" hidden="1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  <c r="L65" s="2">
        <f>COUNTIF('2.2 P&amp;L statement'!$B$4:$B$24,'2.1 Database'!J65)</f>
        <v>1</v>
      </c>
    </row>
    <row r="66" spans="2:12" hidden="1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  <c r="L66" s="2">
        <f>COUNTIF('2.2 P&amp;L statement'!$B$4:$B$24,'2.1 Database'!J66)</f>
        <v>1</v>
      </c>
    </row>
    <row r="67" spans="2:12" hidden="1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  <c r="L67" s="2">
        <f>COUNTIF('2.2 P&amp;L statement'!$B$4:$B$24,'2.1 Database'!J67)</f>
        <v>1</v>
      </c>
    </row>
    <row r="68" spans="2:12" hidden="1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  <c r="L68" s="2">
        <f>COUNTIF('2.2 P&amp;L statement'!$B$4:$B$24,'2.1 Database'!J68)</f>
        <v>1</v>
      </c>
    </row>
    <row r="69" spans="2:12" hidden="1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  <c r="L69" s="2">
        <f>COUNTIF('2.2 P&amp;L statement'!$B$4:$B$24,'2.1 Database'!J69)</f>
        <v>1</v>
      </c>
    </row>
    <row r="70" spans="2:12" hidden="1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  <c r="L70" s="2">
        <f>COUNTIF('2.2 P&amp;L statement'!$B$4:$B$24,'2.1 Database'!J70)</f>
        <v>1</v>
      </c>
    </row>
    <row r="71" spans="2:12" hidden="1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  <c r="L71" s="2">
        <f>COUNTIF('2.2 P&amp;L statement'!$B$4:$B$24,'2.1 Database'!J71)</f>
        <v>1</v>
      </c>
    </row>
    <row r="72" spans="2:12" hidden="1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  <c r="L72" s="2">
        <f>COUNTIF('2.2 P&amp;L statement'!$B$4:$B$24,'2.1 Database'!J72)</f>
        <v>1</v>
      </c>
    </row>
    <row r="73" spans="2:12" hidden="1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  <c r="L73" s="2">
        <f>COUNTIF('2.2 P&amp;L statement'!$B$4:$B$24,'2.1 Database'!J73)</f>
        <v>1</v>
      </c>
    </row>
    <row r="74" spans="2:12" hidden="1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  <c r="L74" s="2">
        <f>COUNTIF('2.2 P&amp;L statement'!$B$4:$B$24,'2.1 Database'!J74)</f>
        <v>1</v>
      </c>
    </row>
    <row r="75" spans="2:12" hidden="1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  <c r="L75" s="2">
        <f>COUNTIF('2.2 P&amp;L statement'!$B$4:$B$24,'2.1 Database'!J75)</f>
        <v>1</v>
      </c>
    </row>
    <row r="76" spans="2:12" hidden="1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  <c r="L76" s="2">
        <f>COUNTIF('2.2 P&amp;L statement'!$B$4:$B$24,'2.1 Database'!J76)</f>
        <v>1</v>
      </c>
    </row>
    <row r="77" spans="2:12" hidden="1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  <c r="L77" s="2">
        <f>COUNTIF('2.2 P&amp;L statement'!$B$4:$B$24,'2.1 Database'!J77)</f>
        <v>1</v>
      </c>
    </row>
    <row r="78" spans="2:12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  <c r="L78" s="2">
        <f>COUNTIF('2.2 P&amp;L statement'!$B$4:$B$24,'2.1 Database'!J78)</f>
        <v>0</v>
      </c>
    </row>
    <row r="79" spans="2:12" hidden="1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  <c r="L79" s="2">
        <f>COUNTIF('2.2 P&amp;L statement'!$B$4:$B$24,'2.1 Database'!J79)</f>
        <v>1</v>
      </c>
    </row>
    <row r="80" spans="2:12" hidden="1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  <c r="L80" s="2">
        <f>COUNTIF('2.2 P&amp;L statement'!$B$4:$B$24,'2.1 Database'!J80)</f>
        <v>1</v>
      </c>
    </row>
    <row r="81" spans="2:12" hidden="1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  <c r="L81" s="2">
        <f>COUNTIF('2.2 P&amp;L statement'!$B$4:$B$24,'2.1 Database'!J81)</f>
        <v>1</v>
      </c>
    </row>
    <row r="82" spans="2:12" hidden="1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  <c r="L82" s="2">
        <f>COUNTIF('2.2 P&amp;L statement'!$B$4:$B$24,'2.1 Database'!J82)</f>
        <v>1</v>
      </c>
    </row>
    <row r="83" spans="2:12" hidden="1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  <c r="L83" s="2">
        <f>COUNTIF('2.2 P&amp;L statement'!$B$4:$B$24,'2.1 Database'!J83)</f>
        <v>1</v>
      </c>
    </row>
    <row r="84" spans="2:12" hidden="1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  <c r="L84" s="2">
        <f>COUNTIF('2.2 P&amp;L statement'!$B$4:$B$24,'2.1 Database'!J84)</f>
        <v>1</v>
      </c>
    </row>
    <row r="85" spans="2:12" hidden="1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  <c r="L85" s="2">
        <f>COUNTIF('2.2 P&amp;L statement'!$B$4:$B$24,'2.1 Database'!J85)</f>
        <v>1</v>
      </c>
    </row>
    <row r="86" spans="2:12" hidden="1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  <c r="L86" s="2">
        <f>COUNTIF('2.2 P&amp;L statement'!$B$4:$B$24,'2.1 Database'!J86)</f>
        <v>1</v>
      </c>
    </row>
    <row r="87" spans="2:12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  <c r="L87" s="2">
        <f>COUNTIF('2.2 P&amp;L statement'!$B$4:$B$24,'2.1 Database'!J87)</f>
        <v>0</v>
      </c>
    </row>
    <row r="88" spans="2:12" hidden="1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  <c r="L88" s="2">
        <f>COUNTIF('2.2 P&amp;L statement'!$B$4:$B$24,'2.1 Database'!J88)</f>
        <v>1</v>
      </c>
    </row>
    <row r="89" spans="2:12" hidden="1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  <c r="L89" s="2">
        <f>COUNTIF('2.2 P&amp;L statement'!$B$4:$B$24,'2.1 Database'!J89)</f>
        <v>1</v>
      </c>
    </row>
    <row r="90" spans="2:12" hidden="1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  <c r="L90" s="2">
        <f>COUNTIF('2.2 P&amp;L statement'!$B$4:$B$24,'2.1 Database'!J90)</f>
        <v>1</v>
      </c>
    </row>
    <row r="91" spans="2:12" hidden="1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  <c r="L91" s="2">
        <f>COUNTIF('2.2 P&amp;L statement'!$B$4:$B$24,'2.1 Database'!J91)</f>
        <v>1</v>
      </c>
    </row>
    <row r="92" spans="2:12" hidden="1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  <c r="L92" s="2">
        <f>COUNTIF('2.2 P&amp;L statement'!$B$4:$B$24,'2.1 Database'!J92)</f>
        <v>1</v>
      </c>
    </row>
    <row r="93" spans="2:12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  <c r="L93" s="2">
        <f>COUNTIF('2.2 P&amp;L statement'!$B$4:$B$24,'2.1 Database'!J93)</f>
        <v>0</v>
      </c>
    </row>
    <row r="94" spans="2:12" hidden="1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  <c r="L94" s="2">
        <f>COUNTIF('2.2 P&amp;L statement'!$B$4:$B$24,'2.1 Database'!J94)</f>
        <v>1</v>
      </c>
    </row>
    <row r="95" spans="2:12" hidden="1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  <c r="L95" s="2">
        <f>COUNTIF('2.2 P&amp;L statement'!$B$4:$B$24,'2.1 Database'!J95)</f>
        <v>1</v>
      </c>
    </row>
    <row r="96" spans="2:12" hidden="1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  <c r="L96" s="2">
        <f>COUNTIF('2.2 P&amp;L statement'!$B$4:$B$24,'2.1 Database'!J96)</f>
        <v>1</v>
      </c>
    </row>
    <row r="97" spans="2:12" hidden="1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  <c r="L97" s="2">
        <f>COUNTIF('2.2 P&amp;L statement'!$B$4:$B$24,'2.1 Database'!J97)</f>
        <v>1</v>
      </c>
    </row>
    <row r="98" spans="2:12" hidden="1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  <c r="L98" s="2">
        <f>COUNTIF('2.2 P&amp;L statement'!$B$4:$B$24,'2.1 Database'!J98)</f>
        <v>1</v>
      </c>
    </row>
    <row r="99" spans="2:12" hidden="1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  <c r="L99" s="2">
        <f>COUNTIF('2.2 P&amp;L statement'!$B$4:$B$24,'2.1 Database'!J99)</f>
        <v>1</v>
      </c>
    </row>
    <row r="100" spans="2:12" hidden="1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  <c r="L100" s="2">
        <f>COUNTIF('2.2 P&amp;L statement'!$B$4:$B$24,'2.1 Database'!J100)</f>
        <v>1</v>
      </c>
    </row>
    <row r="101" spans="2:12" hidden="1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  <c r="L101" s="2">
        <f>COUNTIF('2.2 P&amp;L statement'!$B$4:$B$24,'2.1 Database'!J101)</f>
        <v>1</v>
      </c>
    </row>
    <row r="102" spans="2:12" hidden="1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  <c r="L102" s="2">
        <f>COUNTIF('2.2 P&amp;L statement'!$B$4:$B$24,'2.1 Database'!J102)</f>
        <v>1</v>
      </c>
    </row>
    <row r="103" spans="2:12" hidden="1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  <c r="L103" s="2">
        <f>COUNTIF('2.2 P&amp;L statement'!$B$4:$B$24,'2.1 Database'!J103)</f>
        <v>1</v>
      </c>
    </row>
    <row r="104" spans="2:12" hidden="1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  <c r="L104" s="2">
        <f>COUNTIF('2.2 P&amp;L statement'!$B$4:$B$24,'2.1 Database'!J104)</f>
        <v>1</v>
      </c>
    </row>
    <row r="105" spans="2:12" hidden="1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  <c r="L105" s="2">
        <f>COUNTIF('2.2 P&amp;L statement'!$B$4:$B$24,'2.1 Database'!J105)</f>
        <v>1</v>
      </c>
    </row>
    <row r="106" spans="2:12" hidden="1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  <c r="L106" s="2">
        <f>COUNTIF('2.2 P&amp;L statement'!$B$4:$B$24,'2.1 Database'!J106)</f>
        <v>1</v>
      </c>
    </row>
    <row r="107" spans="2:12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  <c r="L107" s="2">
        <f>COUNTIF('2.2 P&amp;L statement'!$B$4:$B$24,'2.1 Database'!J107)</f>
        <v>0</v>
      </c>
    </row>
    <row r="108" spans="2:12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  <c r="L108" s="2">
        <f>COUNTIF('2.2 P&amp;L statement'!$B$4:$B$24,'2.1 Database'!J108)</f>
        <v>0</v>
      </c>
    </row>
    <row r="109" spans="2:12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autoFilter ref="L3:L108" xr:uid="{6A6BA54F-1505-4E32-9D3D-4021BB2FB0C8}">
    <filterColumn colId="0">
      <filters>
        <filter val="0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tabSelected="1" zoomScale="140" zoomScaleNormal="140" workbookViewId="0">
      <selection activeCell="C28" sqref="C28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</row>
    <row r="5" spans="2:5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</row>
    <row r="6" spans="2:5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</row>
    <row r="7" spans="2:5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</row>
    <row r="8" spans="2:5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</row>
    <row r="9" spans="2:5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</row>
    <row r="10" spans="2:5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</row>
    <row r="11" spans="2:5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</row>
    <row r="12" spans="2:5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</row>
    <row r="13" spans="2:5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</row>
    <row r="14" spans="2:5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</row>
    <row r="15" spans="2:5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</row>
    <row r="16" spans="2:5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</row>
    <row r="17" spans="2:7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</row>
    <row r="18" spans="2:7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</row>
    <row r="19" spans="2:7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</row>
    <row r="20" spans="2:7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</row>
    <row r="21" spans="2:7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</row>
    <row r="22" spans="2:7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</row>
    <row r="23" spans="2:7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</row>
    <row r="24" spans="2:7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</row>
    <row r="26" spans="2:7" x14ac:dyDescent="0.2">
      <c r="B26" s="38"/>
      <c r="C26" s="38"/>
      <c r="D26" s="38"/>
      <c r="E26" s="38"/>
      <c r="F26" s="38"/>
      <c r="G26" s="38"/>
    </row>
    <row r="27" spans="2:7" x14ac:dyDescent="0.2">
      <c r="B27" s="38" t="s">
        <v>245</v>
      </c>
      <c r="C27" s="38">
        <f>SUMIF('2.1 Database'!$J:$J,'2.2 P&amp;L statement'!$B27,'2.1 Database'!F:F)/1000000</f>
        <v>-2.9041179939999986</v>
      </c>
      <c r="D27" s="38">
        <f>SUMIF('2.1 Database'!$J:$J,'2.2 P&amp;L statement'!$B27,'2.1 Database'!G:G)/1000000</f>
        <v>6.0738081600000005</v>
      </c>
      <c r="E27" s="38">
        <f>SUMIF('2.1 Database'!$J:$J,'2.2 P&amp;L statement'!$B27,'2.1 Database'!H:H)/1000000</f>
        <v>-0.77929047600000001</v>
      </c>
      <c r="F27" s="38"/>
      <c r="G27" s="38"/>
    </row>
    <row r="28" spans="2:7" x14ac:dyDescent="0.2">
      <c r="B28" s="38" t="s">
        <v>246</v>
      </c>
      <c r="C28" s="38">
        <f>ROUND(C24+C27,9)</f>
        <v>0</v>
      </c>
      <c r="D28" s="38">
        <f>D24+D27</f>
        <v>0</v>
      </c>
      <c r="E28" s="38">
        <f>E24+E27</f>
        <v>0</v>
      </c>
      <c r="F28" s="38"/>
      <c r="G28" s="38"/>
    </row>
    <row r="29" spans="2:7" x14ac:dyDescent="0.2">
      <c r="B29" s="38"/>
      <c r="C29" s="38"/>
      <c r="D29" s="38"/>
      <c r="E29" s="38"/>
      <c r="F29" s="38"/>
      <c r="G29" s="38"/>
    </row>
    <row r="30" spans="2:7" x14ac:dyDescent="0.2">
      <c r="B30" s="38"/>
      <c r="C30" s="38"/>
      <c r="D30" s="38"/>
      <c r="E30" s="38"/>
      <c r="F30" s="38"/>
      <c r="G30" s="38"/>
    </row>
    <row r="31" spans="2:7" x14ac:dyDescent="0.2">
      <c r="B31" s="38"/>
      <c r="C31" s="38"/>
      <c r="D31" s="38"/>
      <c r="E31" s="38"/>
      <c r="F31" s="38"/>
      <c r="G31" s="38"/>
    </row>
    <row r="32" spans="2:7" x14ac:dyDescent="0.2">
      <c r="C32" s="38"/>
      <c r="D32" s="38"/>
      <c r="E32" s="38"/>
      <c r="F32" s="38"/>
      <c r="G32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2020-02-07T18:48:52Z</dcterms:modified>
</cp:coreProperties>
</file>