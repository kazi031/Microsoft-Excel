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05529356-24B3-42BB-B0CD-C4737D8F1B9C}" xr6:coauthVersionLast="45" xr6:coauthVersionMax="45" xr10:uidLastSave="{00000000-0000-0000-0000-000000000000}"/>
  <bookViews>
    <workbookView xWindow="-108" yWindow="-108" windowWidth="23256" windowHeight="125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3" i="21" l="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E6" i="21"/>
  <c r="D6" i="21"/>
  <c r="C6" i="21"/>
  <c r="E5" i="21"/>
  <c r="D5" i="21"/>
  <c r="C5" i="21"/>
  <c r="D4" i="21"/>
  <c r="E4" i="21"/>
  <c r="C4" i="21"/>
  <c r="E7" i="21" l="1"/>
  <c r="E9" i="21" s="1"/>
  <c r="E17" i="21" s="1"/>
  <c r="E19" i="21" s="1"/>
  <c r="E22" i="21" s="1"/>
  <c r="E24" i="21" s="1"/>
  <c r="D7" i="21"/>
  <c r="D9" i="21" s="1"/>
  <c r="D17" i="21" s="1"/>
  <c r="D19" i="21" s="1"/>
  <c r="D22" i="21" s="1"/>
  <c r="D24" i="21" s="1"/>
  <c r="C7" i="21"/>
  <c r="C9" i="21" s="1"/>
  <c r="C17" i="21" s="1"/>
  <c r="C19" i="21" s="1"/>
  <c r="C22" i="21" s="1"/>
  <c r="C24" i="21" s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<sst xmlns="http://schemas.openxmlformats.org/spreadsheetml/2006/main" count="954" uniqueCount="245">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</sst>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4"/>
  <sheetViews>
    <sheetView tabSelected="1" zoomScale="140" zoomScaleNormal="140" workbookViewId="0">
      <selection activeCell="C15" sqref="C15"/>
    </sheetView>
  </sheetViews>
  <sheetFormatPr defaultRowHeight="11.4" x14ac:dyDescent="0.2"/>
  <cols>
    <col min="1" max="1" width="2" style="33" customWidth="1"/>
    <col min="2" max="2" width="20" style="33" bestFit="1" customWidth="1"/>
    <col min="3" max="3" width="11.88671875" style="33" bestFit="1" customWidth="1"/>
    <col min="4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ROUND(SUMIF('2.1 Database'!$J:$J,'2.2 P&amp;L statement'!$B4,'2.1 Database'!F:F)/1000000,2)</f>
        <v>14.5</v>
      </c>
      <c r="D4" s="38">
        <f>ROUND(SUMIF('2.1 Database'!$J:$J,'2.2 P&amp;L statement'!$B4,'2.1 Database'!G:G)/1000000,2)</f>
        <v>16.149999999999999</v>
      </c>
      <c r="E4" s="38">
        <f>ROUND(SUMIF('2.1 Database'!$J:$J,'2.2 P&amp;L statement'!$B4,'2.1 Database'!H:H)/1000000,2)</f>
        <v>15.05</v>
      </c>
    </row>
    <row r="5" spans="2:5" x14ac:dyDescent="0.2">
      <c r="B5" s="33" t="s">
        <v>66</v>
      </c>
      <c r="C5" s="38">
        <f>ROUND(SUMIF('2.1 Database'!$J:$J,'2.2 P&amp;L statement'!$B5,'2.1 Database'!F:F)/1000000,2)</f>
        <v>4.79</v>
      </c>
      <c r="D5" s="38">
        <f>ROUND(SUMIF('2.1 Database'!$J:$J,'2.2 P&amp;L statement'!$B5,'2.1 Database'!G:G)/1000000,2)</f>
        <v>6.96</v>
      </c>
      <c r="E5" s="38">
        <f>ROUND(SUMIF('2.1 Database'!$J:$J,'2.2 P&amp;L statement'!$B5,'2.1 Database'!H:H)/1000000,2)</f>
        <v>6.37</v>
      </c>
    </row>
    <row r="6" spans="2:5" x14ac:dyDescent="0.2">
      <c r="B6" s="33" t="s">
        <v>229</v>
      </c>
      <c r="C6" s="38">
        <f>ROUND(SUMIF('2.1 Database'!$J:$J,'2.2 P&amp;L statement'!$B6,'2.1 Database'!F:F)/1000000,2)</f>
        <v>3.22</v>
      </c>
      <c r="D6" s="38">
        <f>ROUND(SUMIF('2.1 Database'!$J:$J,'2.2 P&amp;L statement'!$B6,'2.1 Database'!G:G)/1000000,2)</f>
        <v>2.92</v>
      </c>
      <c r="E6" s="38">
        <f>ROUND(SUMIF('2.1 Database'!$J:$J,'2.2 P&amp;L statement'!$B6,'2.1 Database'!H:H)/1000000,2)</f>
        <v>4.8899999999999997</v>
      </c>
    </row>
    <row r="7" spans="2:5" ht="12" x14ac:dyDescent="0.25">
      <c r="B7" s="35" t="s">
        <v>239</v>
      </c>
      <c r="C7" s="39">
        <f>+SUM(C4:C6)</f>
        <v>22.509999999999998</v>
      </c>
      <c r="D7" s="39">
        <f>+SUM(D4:D6)</f>
        <v>26.03</v>
      </c>
      <c r="E7" s="39">
        <f>+SUM(E4:E6)</f>
        <v>26.310000000000002</v>
      </c>
    </row>
    <row r="8" spans="2:5" x14ac:dyDescent="0.2">
      <c r="B8" s="33" t="s">
        <v>104</v>
      </c>
      <c r="C8" s="38">
        <f>ROUND(SUMIF('2.1 Database'!$J:$J,'2.2 P&amp;L statement'!$B8,'2.1 Database'!F:F)/1000000,2)</f>
        <v>-4.43</v>
      </c>
      <c r="D8" s="38">
        <f>ROUND(SUMIF('2.1 Database'!$J:$J,'2.2 P&amp;L statement'!$B8,'2.1 Database'!G:G)/1000000,2)</f>
        <v>-5.46</v>
      </c>
      <c r="E8" s="38">
        <f>ROUND(SUMIF('2.1 Database'!$J:$J,'2.2 P&amp;L statement'!$B8,'2.1 Database'!H:H)/1000000,2)</f>
        <v>-5.67</v>
      </c>
    </row>
    <row r="9" spans="2:5" ht="12" x14ac:dyDescent="0.25">
      <c r="B9" s="35" t="s">
        <v>240</v>
      </c>
      <c r="C9" s="39">
        <f>+SUM(C7:C8)</f>
        <v>18.079999999999998</v>
      </c>
      <c r="D9" s="39">
        <f>+SUM(D7:D8)</f>
        <v>20.57</v>
      </c>
      <c r="E9" s="39">
        <f>+SUM(E7:E8)</f>
        <v>20.64</v>
      </c>
    </row>
    <row r="10" spans="2:5" x14ac:dyDescent="0.2">
      <c r="B10" s="33" t="s">
        <v>227</v>
      </c>
      <c r="C10" s="38">
        <f>ROUND(SUMIF('2.1 Database'!$J:$J,'2.2 P&amp;L statement'!$B10,'2.1 Database'!F:F)/1000000,2)</f>
        <v>-3.4</v>
      </c>
      <c r="D10" s="38">
        <f>ROUND(SUMIF('2.1 Database'!$J:$J,'2.2 P&amp;L statement'!$B10,'2.1 Database'!G:G)/1000000,2)</f>
        <v>-3.7</v>
      </c>
      <c r="E10" s="38">
        <f>ROUND(SUMIF('2.1 Database'!$J:$J,'2.2 P&amp;L statement'!$B10,'2.1 Database'!H:H)/1000000,2)</f>
        <v>-6.69</v>
      </c>
    </row>
    <row r="11" spans="2:5" x14ac:dyDescent="0.2">
      <c r="B11" s="33" t="s">
        <v>228</v>
      </c>
      <c r="C11" s="38">
        <f>ROUND(SUMIF('2.1 Database'!$J:$J,'2.2 P&amp;L statement'!$B11,'2.1 Database'!F:F)/1000000,2)</f>
        <v>-6.17</v>
      </c>
      <c r="D11" s="38">
        <f>ROUND(SUMIF('2.1 Database'!$J:$J,'2.2 P&amp;L statement'!$B11,'2.1 Database'!G:G)/1000000,2)</f>
        <v>-8.07</v>
      </c>
      <c r="E11" s="38">
        <f>ROUND(SUMIF('2.1 Database'!$J:$J,'2.2 P&amp;L statement'!$B11,'2.1 Database'!H:H)/1000000,2)</f>
        <v>-5.84</v>
      </c>
    </row>
    <row r="12" spans="2:5" x14ac:dyDescent="0.2">
      <c r="B12" s="33" t="s">
        <v>230</v>
      </c>
      <c r="C12" s="38">
        <f>ROUND(SUMIF('2.1 Database'!$J:$J,'2.2 P&amp;L statement'!$B12,'2.1 Database'!F:F)/1000000,2)</f>
        <v>-1.1299999999999999</v>
      </c>
      <c r="D12" s="38">
        <f>ROUND(SUMIF('2.1 Database'!$J:$J,'2.2 P&amp;L statement'!$B12,'2.1 Database'!G:G)/1000000,2)</f>
        <v>-1.06</v>
      </c>
      <c r="E12" s="38">
        <f>ROUND(SUMIF('2.1 Database'!$J:$J,'2.2 P&amp;L statement'!$B12,'2.1 Database'!H:H)/1000000,2)</f>
        <v>1.6</v>
      </c>
    </row>
    <row r="13" spans="2:5" x14ac:dyDescent="0.2">
      <c r="B13" s="33" t="s">
        <v>231</v>
      </c>
      <c r="C13" s="38">
        <f>ROUND(SUMIF('2.1 Database'!$J:$J,'2.2 P&amp;L statement'!$B13,'2.1 Database'!F:F)/1000000,2)</f>
        <v>-2.54</v>
      </c>
      <c r="D13" s="38">
        <f>ROUND(SUMIF('2.1 Database'!$J:$J,'2.2 P&amp;L statement'!$B13,'2.1 Database'!G:G)/1000000,2)</f>
        <v>-1.84</v>
      </c>
      <c r="E13" s="38">
        <f>ROUND(SUMIF('2.1 Database'!$J:$J,'2.2 P&amp;L statement'!$B13,'2.1 Database'!H:H)/1000000,2)</f>
        <v>-1.95</v>
      </c>
    </row>
    <row r="14" spans="2:5" x14ac:dyDescent="0.2">
      <c r="B14" s="33" t="s">
        <v>232</v>
      </c>
      <c r="C14" s="38">
        <f>ROUND(SUMIF('2.1 Database'!$J:$J,'2.2 P&amp;L statement'!$B14,'2.1 Database'!F:F)/1000000,2)</f>
        <v>-1.81</v>
      </c>
      <c r="D14" s="38">
        <f>ROUND(SUMIF('2.1 Database'!$J:$J,'2.2 P&amp;L statement'!$B14,'2.1 Database'!G:G)/1000000,2)</f>
        <v>-2.39</v>
      </c>
      <c r="E14" s="38">
        <f>ROUND(SUMIF('2.1 Database'!$J:$J,'2.2 P&amp;L statement'!$B14,'2.1 Database'!H:H)/1000000,2)</f>
        <v>-2.5099999999999998</v>
      </c>
    </row>
    <row r="15" spans="2:5" x14ac:dyDescent="0.2">
      <c r="B15" s="33" t="s">
        <v>74</v>
      </c>
      <c r="C15" s="38">
        <f>ROUND(SUMIF('2.1 Database'!$J:$J,'2.2 P&amp;L statement'!$B15,'2.1 Database'!F:F)/1000000,2)</f>
        <v>0</v>
      </c>
      <c r="D15" s="38">
        <f>ROUND(SUMIF('2.1 Database'!$J:$J,'2.2 P&amp;L statement'!$B15,'2.1 Database'!G:G)/1000000,2)</f>
        <v>-0.01</v>
      </c>
      <c r="E15" s="38">
        <f>ROUND(SUMIF('2.1 Database'!$J:$J,'2.2 P&amp;L statement'!$B15,'2.1 Database'!H:H)/1000000,2)</f>
        <v>0.05</v>
      </c>
    </row>
    <row r="16" spans="2:5" x14ac:dyDescent="0.2">
      <c r="B16" s="33" t="s">
        <v>67</v>
      </c>
      <c r="C16" s="38">
        <f>ROUND(SUMIF('2.1 Database'!$J:$J,'2.2 P&amp;L statement'!$B16,'2.1 Database'!F:F)/1000000,2)</f>
        <v>5.27</v>
      </c>
      <c r="D16" s="38">
        <f>ROUND(SUMIF('2.1 Database'!$J:$J,'2.2 P&amp;L statement'!$B16,'2.1 Database'!G:G)/1000000,2)</f>
        <v>0.74</v>
      </c>
      <c r="E16" s="38">
        <f>ROUND(SUMIF('2.1 Database'!$J:$J,'2.2 P&amp;L statement'!$B16,'2.1 Database'!H:H)/1000000,2)</f>
        <v>0</v>
      </c>
    </row>
    <row r="17" spans="2:5" ht="12" x14ac:dyDescent="0.25">
      <c r="B17" s="36" t="s">
        <v>241</v>
      </c>
      <c r="C17" s="40">
        <f>+SUM(C9:C16)</f>
        <v>8.2999999999999972</v>
      </c>
      <c r="D17" s="40">
        <f>+SUM(D9:D16)</f>
        <v>4.24</v>
      </c>
      <c r="E17" s="40">
        <f>+SUM(E9:E16)</f>
        <v>5.2999999999999989</v>
      </c>
    </row>
    <row r="18" spans="2:5" x14ac:dyDescent="0.2">
      <c r="B18" s="33" t="s">
        <v>72</v>
      </c>
      <c r="C18" s="38">
        <f>ROUND(SUMIF('2.1 Database'!$J:$J,'2.2 P&amp;L statement'!$B18,'2.1 Database'!F:F)/1000000,2)</f>
        <v>-2.0499999999999998</v>
      </c>
      <c r="D18" s="38">
        <f>ROUND(SUMIF('2.1 Database'!$J:$J,'2.2 P&amp;L statement'!$B18,'2.1 Database'!G:G)/1000000,2)</f>
        <v>-2.04</v>
      </c>
      <c r="E18" s="38">
        <f>ROUND(SUMIF('2.1 Database'!$J:$J,'2.2 P&amp;L statement'!$B18,'2.1 Database'!H:H)/1000000,2)</f>
        <v>-1.89</v>
      </c>
    </row>
    <row r="19" spans="2:5" ht="12" x14ac:dyDescent="0.25">
      <c r="B19" s="35" t="s">
        <v>242</v>
      </c>
      <c r="C19" s="39">
        <f>+SUM(C17:C18)</f>
        <v>6.2499999999999973</v>
      </c>
      <c r="D19" s="39">
        <f>+SUM(D17:D18)</f>
        <v>2.2000000000000002</v>
      </c>
      <c r="E19" s="39">
        <f>+SUM(E17:E18)</f>
        <v>3.4099999999999993</v>
      </c>
    </row>
    <row r="20" spans="2:5" x14ac:dyDescent="0.2">
      <c r="B20" s="33" t="s">
        <v>233</v>
      </c>
      <c r="C20" s="38">
        <f>ROUND(SUMIF('2.1 Database'!$J:$J,'2.2 P&amp;L statement'!$B20,'2.1 Database'!F:F)/1000000,2)</f>
        <v>-2.84</v>
      </c>
      <c r="D20" s="38">
        <f>ROUND(SUMIF('2.1 Database'!$J:$J,'2.2 P&amp;L statement'!$B20,'2.1 Database'!G:G)/1000000,2)</f>
        <v>-2.71</v>
      </c>
      <c r="E20" s="38">
        <f>ROUND(SUMIF('2.1 Database'!$J:$J,'2.2 P&amp;L statement'!$B20,'2.1 Database'!H:H)/1000000,2)</f>
        <v>-2.25</v>
      </c>
    </row>
    <row r="21" spans="2:5" x14ac:dyDescent="0.2">
      <c r="B21" s="33" t="s">
        <v>234</v>
      </c>
      <c r="C21" s="38">
        <f>ROUND(SUMIF('2.1 Database'!$J:$J,'2.2 P&amp;L statement'!$B21,'2.1 Database'!F:F)/1000000,2)</f>
        <v>-0.02</v>
      </c>
      <c r="D21" s="38">
        <f>ROUND(SUMIF('2.1 Database'!$J:$J,'2.2 P&amp;L statement'!$B21,'2.1 Database'!G:G)/1000000,2)</f>
        <v>-4.58</v>
      </c>
      <c r="E21" s="38">
        <f>ROUND(SUMIF('2.1 Database'!$J:$J,'2.2 P&amp;L statement'!$B21,'2.1 Database'!H:H)/1000000,2)</f>
        <v>-0.01</v>
      </c>
    </row>
    <row r="22" spans="2:5" ht="12" x14ac:dyDescent="0.25">
      <c r="B22" s="35" t="s">
        <v>243</v>
      </c>
      <c r="C22" s="39">
        <f>+SUM(C19:C21)</f>
        <v>3.3899999999999975</v>
      </c>
      <c r="D22" s="39">
        <f>+SUM(D19:D21)</f>
        <v>-5.09</v>
      </c>
      <c r="E22" s="39">
        <f>+SUM(E19:E21)</f>
        <v>1.1499999999999992</v>
      </c>
    </row>
    <row r="23" spans="2:5" x14ac:dyDescent="0.2">
      <c r="B23" s="33" t="s">
        <v>235</v>
      </c>
      <c r="C23" s="38">
        <f>ROUND(SUMIF('2.1 Database'!$J:$J,'2.2 P&amp;L statement'!$B23,'2.1 Database'!F:F)/1000000,2)</f>
        <v>-0.49</v>
      </c>
      <c r="D23" s="38">
        <f>ROUND(SUMIF('2.1 Database'!$J:$J,'2.2 P&amp;L statement'!$B23,'2.1 Database'!G:G)/1000000,2)</f>
        <v>-0.98</v>
      </c>
      <c r="E23" s="38">
        <f>ROUND(SUMIF('2.1 Database'!$J:$J,'2.2 P&amp;L statement'!$B23,'2.1 Database'!H:H)/1000000,2)</f>
        <v>-0.36</v>
      </c>
    </row>
    <row r="24" spans="2:5" ht="12.6" thickBot="1" x14ac:dyDescent="0.3">
      <c r="B24" s="37" t="s">
        <v>236</v>
      </c>
      <c r="C24" s="41">
        <f>+SUM(C22:C23)</f>
        <v>2.8999999999999977</v>
      </c>
      <c r="D24" s="41">
        <f>+SUM(D22:D23)</f>
        <v>-6.07</v>
      </c>
      <c r="E24" s="41">
        <f>+SUM(E22:E23)</f>
        <v>0.78999999999999926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2020-02-01T15:50:51Z</dcterms:modified>
</cp:coreProperties>
</file>